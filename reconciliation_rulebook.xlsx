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Bank fee rules" sheetId="2" state="visible" r:id="rId4"/>
    <sheet name="Common-sense rules" sheetId="3" state="visible" r:id="rId5"/>
    <sheet name="Not errors" sheetId="4" state="visible" r:id="rId6"/>
    <sheet name="EMI plans" sheetId="5" state="visible" r:id="rId7"/>
    <sheet name="EMI schedule" sheetId="6" state="visible" r:id="rId8"/>
    <sheet name="Parameters" sheetId="7" state="visible" r:id="rId9"/>
    <sheet name="Late fee slabs" sheetId="8" state="visible" r:id="rId10"/>
    <sheet name="Source"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<sst xmlns="http://schemas.openxmlformats.org/spreadsheetml/2006/main" count="560" uniqueCount="439">
  <si>
    <t xml:space="preserve">Reconciliation rulebook</t>
  </si>
  <si>
    <t xml:space="preserve">Fee values are from the issuer MITC stated correct as on 25 September 2026.</t>
  </si>
  <si>
    <t xml:space="preserve">Item</t>
  </si>
  <si>
    <t xml:space="preserve">Details</t>
  </si>
  <si>
    <t xml:space="preserve">Purpose</t>
  </si>
  <si>
    <t xml:space="preserve">The rulebook for the reconciliation engine. Each rule says what a correct statement looks like and when to raise an alert.</t>
  </si>
  <si>
    <t xml:space="preserve">For the dummy statements</t>
  </si>
  <si>
    <t xml:space="preserve">Each dummy statement should break one rule. The "How to break it" column on the rule sheets says how. Record which Rule ID each statement breaks so the alerts can be scored.</t>
  </si>
  <si>
    <t xml:space="preserve">Sheets</t>
  </si>
  <si>
    <t xml:space="preserve">Bank fee rules: rules taken from the issuer MITC. Common-sense rules: rules from the project scope. Not errors: cases that look wrong but are allowed, for testing false alarms. Parameters and Late fee slabs: the numbers the engine reads. Source: where the numbers came from.</t>
  </si>
  <si>
    <t xml:space="preserve">Assumption 1</t>
  </si>
  <si>
    <t xml:space="preserve">The dummy card is a standard unsecured card: finance charge 3.75% per month and foreign currency fee 3.5%. Premium, secured and defence variants have different rates in the MITC and are left out.</t>
  </si>
  <si>
    <t xml:space="preserve">Assumption 2</t>
  </si>
  <si>
    <t xml:space="preserve">GST is 18% on every fee, interest and charge. The split into central and state tax depends on the cardholder state; the total is the same.</t>
  </si>
  <si>
    <t xml:space="preserve">Assumption 3</t>
  </si>
  <si>
    <t xml:space="preserve">Annual fee, credit limit, and each EMI plan (amount, rate, tenure, processing fee) are not fixed by the MITC. Set them per dummy card and write them on the statement.</t>
  </si>
  <si>
    <t xml:space="preserve">Assumption 4</t>
  </si>
  <si>
    <t xml:space="preserve">Allow a rounding tolerance of Rs. 1 when comparing expected and actual amounts.</t>
  </si>
  <si>
    <t xml:space="preserve">Naming</t>
  </si>
  <si>
    <t xml:space="preserve">The rule sheets say "issuer" and do not name the bank. Only the Source sheet names the document; remove that sheet before sharing outside the team.</t>
  </si>
  <si>
    <t xml:space="preserve">Colour</t>
  </si>
  <si>
    <t xml:space="preserve">Blue numbers on the Parameters and Late fee slabs sheets are inputs copied from the MITC. Change them there if the policy changes.</t>
  </si>
  <si>
    <t xml:space="preserve">Bank fee rules</t>
  </si>
  <si>
    <t xml:space="preserve">From the issuer MITC. All fees are before GST; GST is checked separately by rule F13.</t>
  </si>
  <si>
    <t xml:space="preserve">Rule ID</t>
  </si>
  <si>
    <t xml:space="preserve">Rule</t>
  </si>
  <si>
    <t xml:space="preserve">When it applies</t>
  </si>
  <si>
    <t xml:space="preserve">Expected value or formula</t>
  </si>
  <si>
    <t xml:space="preserve">Flag (raise alert) if</t>
  </si>
  <si>
    <t xml:space="preserve">How to break it in a dummy statement</t>
  </si>
  <si>
    <t xml:space="preserve">Worked example</t>
  </si>
  <si>
    <t xml:space="preserve">MITC section</t>
  </si>
  <si>
    <t xml:space="preserve">F01</t>
  </si>
  <si>
    <t xml:space="preserve">Finance charge (interest) rate</t>
  </si>
  <si>
    <t xml:space="preserve">Total amount due of the previous statement was not paid in full by the due date</t>
  </si>
  <si>
    <t xml:space="preserve">Balance x 45% x days / 365 (3.75% per month), counted from the transaction date</t>
  </si>
  <si>
    <t xml:space="preserve">Interest charged differs from the formula</t>
  </si>
  <si>
    <t xml:space="preserve">Charge interest at a higher rate, e.g. 4.5% per month</t>
  </si>
  <si>
    <t xml:space="preserve">Rs. 6,000 for 38 days: 45% x 38/365 x 6,000 = Rs. 281.10 (MITC example)</t>
  </si>
  <si>
    <t xml:space="preserve">1F</t>
  </si>
  <si>
    <t xml:space="preserve">F02</t>
  </si>
  <si>
    <t xml:space="preserve">No interest after full payment</t>
  </si>
  <si>
    <t xml:space="preserve">Previous total amount due was paid in full by the due date, no balance carried forward, no cash advance</t>
  </si>
  <si>
    <t xml:space="preserve">Finance charge = 0</t>
  </si>
  <si>
    <t xml:space="preserve">Any finance charge appears</t>
  </si>
  <si>
    <t xml:space="preserve">Show full payment on time, then add a finance charge line</t>
  </si>
  <si>
    <t xml:space="preserve">1E, 1F</t>
  </si>
  <si>
    <t xml:space="preserve">F03</t>
  </si>
  <si>
    <t xml:space="preserve">Minimum finance charge</t>
  </si>
  <si>
    <t xml:space="preserve">A finance charge applies but the computed amount is small</t>
  </si>
  <si>
    <t xml:space="preserve">Finance charge is at least Rs. 25 (before tax)</t>
  </si>
  <si>
    <t xml:space="preserve">Finance charge is above 0 and below Rs. 25</t>
  </si>
  <si>
    <t xml:space="preserve">Charge Rs. 10 interest on a small unpaid balance</t>
  </si>
  <si>
    <t xml:space="preserve">1F, 8</t>
  </si>
  <si>
    <t xml:space="preserve">F04</t>
  </si>
  <si>
    <t xml:space="preserve">Interest on cash advance</t>
  </si>
  <si>
    <t xml:space="preserve">Cash withdrawn using the card</t>
  </si>
  <si>
    <t xml:space="preserve">Interest from the withdrawal date until paid; no interest-free period</t>
  </si>
  <si>
    <t xml:space="preserve">Interest is counted from a date other than the withdrawal date</t>
  </si>
  <si>
    <t xml:space="preserve">Count interest from the statement start instead of the withdrawal date</t>
  </si>
  <si>
    <t xml:space="preserve">1B, 1F, 8</t>
  </si>
  <si>
    <t xml:space="preserve">F05</t>
  </si>
  <si>
    <t xml:space="preserve">Cash advance fee</t>
  </si>
  <si>
    <t xml:space="preserve">Each cash withdrawal at an ATM</t>
  </si>
  <si>
    <t xml:space="preserve">Higher of 2.5% of the amount or Rs. 500</t>
  </si>
  <si>
    <t xml:space="preserve">Fee differs from the formula, or is charged twice for one withdrawal</t>
  </si>
  <si>
    <t xml:space="preserve">Charge 3.5%, or charge Rs. 300 on a small withdrawal</t>
  </si>
  <si>
    <t xml:space="preserve">Rs. 10,000: 2.5% = 250, so fee = Rs. 500. Rs. 30,000: fee = Rs. 750</t>
  </si>
  <si>
    <t xml:space="preserve">1B, 8</t>
  </si>
  <si>
    <t xml:space="preserve">F06</t>
  </si>
  <si>
    <t xml:space="preserve">Late payment fee</t>
  </si>
  <si>
    <t xml:space="preserve">Minimum amount due not paid by the due date plus 3 grace days</t>
  </si>
  <si>
    <t xml:space="preserve">Fixed slab by outstanding amount due (see Late fee slabs sheet)</t>
  </si>
  <si>
    <t xml:space="preserve">Fee charged although the minimum due was paid on time, or the wrong slab is used</t>
  </si>
  <si>
    <t xml:space="preserve">Use the next higher slab, or charge the fee when payment was on time</t>
  </si>
  <si>
    <t xml:space="preserve">Amount due Rs. 10,500 falls in the 10,000 to 25,000 slab: fee = Rs. 950 (MITC example)</t>
  </si>
  <si>
    <t xml:space="preserve">1H, 8</t>
  </si>
  <si>
    <t xml:space="preserve">F07</t>
  </si>
  <si>
    <t xml:space="preserve">Additional late payment charge</t>
  </si>
  <si>
    <t xml:space="preserve">Minimum amount due missed for two consecutive cycles</t>
  </si>
  <si>
    <t xml:space="preserve">Rs. 100 extra per cycle until the minimum due is cleared</t>
  </si>
  <si>
    <t xml:space="preserve">Charged when fewer than two consecutive cycles were missed, or the amount is not Rs. 100</t>
  </si>
  <si>
    <t xml:space="preserve">Add the Rs. 100 charge after only one missed cycle</t>
  </si>
  <si>
    <t xml:space="preserve">F08</t>
  </si>
  <si>
    <t xml:space="preserve">Over-limit fee</t>
  </si>
  <si>
    <t xml:space="preserve">Outstanding amount exceeds the credit limit</t>
  </si>
  <si>
    <t xml:space="preserve">Higher of 2.5% of the amount over the limit or Rs. 600; once per billing cycle</t>
  </si>
  <si>
    <t xml:space="preserve">Charged while within the limit, wrong amount, or more than once in a cycle</t>
  </si>
  <si>
    <t xml:space="preserve">Charge it twice in one cycle, or when the balance is under the limit</t>
  </si>
  <si>
    <t xml:space="preserve">Limit Rs. 1,00,000, outstanding Rs. 1,30,000: 2.5% x 30,000 = Rs. 750</t>
  </si>
  <si>
    <t xml:space="preserve">1I, 8</t>
  </si>
  <si>
    <t xml:space="preserve">F09</t>
  </si>
  <si>
    <t xml:space="preserve">Payment dishonour fee</t>
  </si>
  <si>
    <t xml:space="preserve">A payment bounces</t>
  </si>
  <si>
    <t xml:space="preserve">Higher of 2% of the payment amount or Rs. 500</t>
  </si>
  <si>
    <t xml:space="preserve">Fee differs, or is charged with no bounced payment on the statement</t>
  </si>
  <si>
    <t xml:space="preserve">Charge the fee with no dishonoured payment listed</t>
  </si>
  <si>
    <t xml:space="preserve">Payment Rs. 20,000: 2% = 400, so fee = Rs. 500</t>
  </si>
  <si>
    <t xml:space="preserve">1J, 8</t>
  </si>
  <si>
    <t xml:space="preserve">F10</t>
  </si>
  <si>
    <t xml:space="preserve">Foreign currency transaction fee</t>
  </si>
  <si>
    <t xml:space="preserve">Transaction in a foreign currency</t>
  </si>
  <si>
    <t xml:space="preserve">3.5% of the INR-converted amount</t>
  </si>
  <si>
    <t xml:space="preserve">Fee differs from 3.5% of the converted amount</t>
  </si>
  <si>
    <t xml:space="preserve">Charge 5% on a foreign purchase</t>
  </si>
  <si>
    <t xml:space="preserve">Rs. 10,000 converted: fee = Rs. 350</t>
  </si>
  <si>
    <t xml:space="preserve">1N, 8</t>
  </si>
  <si>
    <t xml:space="preserve">F11</t>
  </si>
  <si>
    <t xml:space="preserve">Dynamic currency conversion fee</t>
  </si>
  <si>
    <t xml:space="preserve">INR transaction of Rs. 1,000 or more at an international location or overseas-registered merchant</t>
  </si>
  <si>
    <t xml:space="preserve">3.5% of the transaction amount</t>
  </si>
  <si>
    <t xml:space="preserve">Charged on a transaction below Rs. 1,000, on a domestic merchant, or at a different rate</t>
  </si>
  <si>
    <t xml:space="preserve">Charge it on an Rs. 800 transaction</t>
  </si>
  <si>
    <t xml:space="preserve">F12</t>
  </si>
  <si>
    <t xml:space="preserve">Annual or renewal fee</t>
  </si>
  <si>
    <t xml:space="preserve">Once every 12 months</t>
  </si>
  <si>
    <t xml:space="preserve">The fee set for the dummy card (MITC range Rs. 0 to Rs. 9,999); waived if annual spend crossed the card's waiver threshold</t>
  </si>
  <si>
    <t xml:space="preserve">Charged more than once in 12 months, amount differs from the card's fee, or charged although the waiver threshold was met</t>
  </si>
  <si>
    <t xml:space="preserve">Charge the fee in two different months of the same year</t>
  </si>
  <si>
    <t xml:space="preserve">1A, 8</t>
  </si>
  <si>
    <t xml:space="preserve">F13</t>
  </si>
  <si>
    <t xml:space="preserve">GST on fees and interest</t>
  </si>
  <si>
    <t xml:space="preserve">Any fee, interest or charge on the statement</t>
  </si>
  <si>
    <t xml:space="preserve">18% of the sum of fees, interest and charges</t>
  </si>
  <si>
    <t xml:space="preserve">GST differs from 18% of that sum, or GST is charged on purchases</t>
  </si>
  <si>
    <t xml:space="preserve">Show GST at 28%, or GST with no fee on the statement</t>
  </si>
  <si>
    <t xml:space="preserve">Annual fee Rs. 500: GST = Rs. 90 (MITC example)</t>
  </si>
  <si>
    <t xml:space="preserve">8</t>
  </si>
  <si>
    <t xml:space="preserve">F14</t>
  </si>
  <si>
    <t xml:space="preserve">Minimum amount due</t>
  </si>
  <si>
    <t xml:space="preserve">Every statement</t>
  </si>
  <si>
    <t xml:space="preserve">100% of GST + 100% of EMI + 100% of fees + 100% of finance charges + over-limit amount + 2% of remaining balance (at least Rs. 200), plus any unpaid minimum due from earlier statements</t>
  </si>
  <si>
    <t xml:space="preserve">Printed minimum due differs from the formula</t>
  </si>
  <si>
    <t xml:space="preserve">Print a minimum due that leaves out the EMI or fees</t>
  </si>
  <si>
    <t xml:space="preserve">GST 90 + fee 500 + 2% x 6,000 = Rs. 710 (MITC example)</t>
  </si>
  <si>
    <t xml:space="preserve">1G, 3b</t>
  </si>
  <si>
    <t xml:space="preserve">F15</t>
  </si>
  <si>
    <t xml:space="preserve">Payment due date</t>
  </si>
  <si>
    <t xml:space="preserve">Statement date + 20 days (as used in the MITC examples)</t>
  </si>
  <si>
    <t xml:space="preserve">Due date is earlier than statement date + 20 days</t>
  </si>
  <si>
    <t xml:space="preserve">Print a due date 10 days after the statement date</t>
  </si>
  <si>
    <t xml:space="preserve">Statement 2 Feb: due 22 Feb (MITC example)</t>
  </si>
  <si>
    <t xml:space="preserve">1F examples</t>
  </si>
  <si>
    <t xml:space="preserve">F16</t>
  </si>
  <si>
    <t xml:space="preserve">Utility payment fee</t>
  </si>
  <si>
    <t xml:space="preserve">Utility payments in a billing cycle total more than Rs. 50,000</t>
  </si>
  <si>
    <t xml:space="preserve">1% of the total utility payments in that cycle</t>
  </si>
  <si>
    <t xml:space="preserve">Charged when the total is Rs. 50,000 or less, or the amount is wrong</t>
  </si>
  <si>
    <t xml:space="preserve">Charge 1% when utility payments total Rs. 30,000</t>
  </si>
  <si>
    <t xml:space="preserve">Utility total Rs. 64,000: fee = Rs. 640 (MITC example)</t>
  </si>
  <si>
    <t xml:space="preserve">1K, 8</t>
  </si>
  <si>
    <t xml:space="preserve">F17</t>
  </si>
  <si>
    <t xml:space="preserve">Education payment fee</t>
  </si>
  <si>
    <t xml:space="preserve">Education payment made through a third-party app</t>
  </si>
  <si>
    <t xml:space="preserve">1% of the transaction amount</t>
  </si>
  <si>
    <t xml:space="preserve">Fee differs from 1%, or is charged on a payment made directly to the school or college</t>
  </si>
  <si>
    <t xml:space="preserve">Charge 2% on an education payment</t>
  </si>
  <si>
    <t xml:space="preserve">1L, 8</t>
  </si>
  <si>
    <t xml:space="preserve">F18</t>
  </si>
  <si>
    <t xml:space="preserve">Wallet load fee</t>
  </si>
  <si>
    <t xml:space="preserve">Each wallet load above Rs. 1,000</t>
  </si>
  <si>
    <t xml:space="preserve">Charged on a load of Rs. 1,000 or less, or the amount is wrong</t>
  </si>
  <si>
    <t xml:space="preserve">Charge the fee on an Rs. 500 wallet load</t>
  </si>
  <si>
    <t xml:space="preserve">Wallet load Rs. 5,000: fee = Rs. 50</t>
  </si>
  <si>
    <t xml:space="preserve">1M, 8</t>
  </si>
  <si>
    <t xml:space="preserve">F19</t>
  </si>
  <si>
    <t xml:space="preserve">Rent payment processing fee</t>
  </si>
  <si>
    <t xml:space="preserve">Each rent payment transaction</t>
  </si>
  <si>
    <t xml:space="preserve">Rs. 199 per transaction</t>
  </si>
  <si>
    <t xml:space="preserve">Amount differs, or charged twice for one rent payment</t>
  </si>
  <si>
    <t xml:space="preserve">Charge Rs. 199 twice for a single rent payment</t>
  </si>
  <si>
    <t xml:space="preserve">F20</t>
  </si>
  <si>
    <t xml:space="preserve">Fuel surcharge</t>
  </si>
  <si>
    <t xml:space="preserve">Purchase at a petrol pump</t>
  </si>
  <si>
    <t xml:space="preserve">1% of the transaction amount, plus tax</t>
  </si>
  <si>
    <t xml:space="preserve">Surcharge is more than 1%</t>
  </si>
  <si>
    <t xml:space="preserve">Charge a 2.5% fuel surcharge</t>
  </si>
  <si>
    <t xml:space="preserve">F21</t>
  </si>
  <si>
    <t xml:space="preserve">Cash payment fee</t>
  </si>
  <si>
    <t xml:space="preserve">Bill paid in cash at a bank branch</t>
  </si>
  <si>
    <t xml:space="preserve">Rs. 250</t>
  </si>
  <si>
    <t xml:space="preserve">Amount differs, or charged when no cash payment was made</t>
  </si>
  <si>
    <t xml:space="preserve">Charge the fee on an online payment</t>
  </si>
  <si>
    <t xml:space="preserve">1C, 8</t>
  </si>
  <si>
    <t xml:space="preserve">F22</t>
  </si>
  <si>
    <t xml:space="preserve">Cheque payment fee</t>
  </si>
  <si>
    <t xml:space="preserve">Bill paid by cheque</t>
  </si>
  <si>
    <t xml:space="preserve">Rs. 200</t>
  </si>
  <si>
    <t xml:space="preserve">Amount differs, or charged when no cheque payment was made</t>
  </si>
  <si>
    <t xml:space="preserve">F23</t>
  </si>
  <si>
    <t xml:space="preserve">Rewards redemption fee</t>
  </si>
  <si>
    <t xml:space="preserve">Reward points redeemed for physical products, statement credit or physical vouchers</t>
  </si>
  <si>
    <t xml:space="preserve">Rs. 99</t>
  </si>
  <si>
    <t xml:space="preserve">Amount differs, or charged with no redemption</t>
  </si>
  <si>
    <t xml:space="preserve">Charge Rs. 199 for one redemption</t>
  </si>
  <si>
    <t xml:space="preserve">F24</t>
  </si>
  <si>
    <t xml:space="preserve">Card replacement fee</t>
  </si>
  <si>
    <t xml:space="preserve">Card replaced</t>
  </si>
  <si>
    <t xml:space="preserve">Rs. 100 to Rs. 250</t>
  </si>
  <si>
    <t xml:space="preserve">Amount is outside the range, or charged with no replacement</t>
  </si>
  <si>
    <t xml:space="preserve">Charge Rs. 500 for a replacement</t>
  </si>
  <si>
    <t xml:space="preserve">F25</t>
  </si>
  <si>
    <t xml:space="preserve">Interest on unpaid EMI</t>
  </si>
  <si>
    <t xml:space="preserve">An EMI instalment is billed and not paid by the due date</t>
  </si>
  <si>
    <t xml:space="preserve">Unpaid instalment x 45% x days / 365</t>
  </si>
  <si>
    <t xml:space="preserve">Interest on unpaid EMI differs from the formula, or is charged although the EMI was paid</t>
  </si>
  <si>
    <t xml:space="preserve">Charge EMI interest although the instalment was paid on time</t>
  </si>
  <si>
    <t xml:space="preserve">Rs. 6,730.03 unpaid for 11 days: Rs. 91.27 (MITC example)</t>
  </si>
  <si>
    <t xml:space="preserve">1F example 5</t>
  </si>
  <si>
    <t xml:space="preserve">Common-sense rules</t>
  </si>
  <si>
    <t xml:space="preserve">These come from the project scope, not the issuer documents. EMI terms are set per dummy plan.</t>
  </si>
  <si>
    <t xml:space="preserve">What to check</t>
  </si>
  <si>
    <t xml:space="preserve">C01</t>
  </si>
  <si>
    <t xml:space="preserve">Duplicate transaction</t>
  </si>
  <si>
    <t xml:space="preserve">Same merchant, amount and date appear twice</t>
  </si>
  <si>
    <t xml:space="preserve">A second identical transaction is charged</t>
  </si>
  <si>
    <t xml:space="preserve">Repeat one purchase line with the same date and amount</t>
  </si>
  <si>
    <t xml:space="preserve">C02</t>
  </si>
  <si>
    <t xml:space="preserve">EMI missing</t>
  </si>
  <si>
    <t xml:space="preserve">An ongoing EMI should appear every month until its last instalment</t>
  </si>
  <si>
    <t xml:space="preserve">An ongoing EMI is not on this month's statement</t>
  </si>
  <si>
    <t xml:space="preserve">Leave instalment 4 of 9 out of one month</t>
  </si>
  <si>
    <t xml:space="preserve">C03</t>
  </si>
  <si>
    <t xml:space="preserve">EMI repeated</t>
  </si>
  <si>
    <t xml:space="preserve">Each EMI should appear once per month</t>
  </si>
  <si>
    <t xml:space="preserve">The same EMI is charged twice in one month</t>
  </si>
  <si>
    <t xml:space="preserve">Add the same EMI line twice</t>
  </si>
  <si>
    <t xml:space="preserve">C04</t>
  </si>
  <si>
    <t xml:space="preserve">EMI amount changed</t>
  </si>
  <si>
    <t xml:space="preserve">EMI amount should match the plan and earlier months</t>
  </si>
  <si>
    <t xml:space="preserve">The amount differs from the plan amount</t>
  </si>
  <si>
    <t xml:space="preserve">Raise one month's EMI by a few hundred rupees</t>
  </si>
  <si>
    <t xml:space="preserve">C05</t>
  </si>
  <si>
    <t xml:space="preserve">EMI instalment count</t>
  </si>
  <si>
    <t xml:space="preserve">Instalment number should go up by one each month and stop at the tenure</t>
  </si>
  <si>
    <t xml:space="preserve">A number is skipped or repeated, or an EMI is charged after the last instalment</t>
  </si>
  <si>
    <t xml:space="preserve">Charge a 10th instalment on a 9-month plan</t>
  </si>
  <si>
    <t xml:space="preserve">C06</t>
  </si>
  <si>
    <t xml:space="preserve">EMI amount matches the plan</t>
  </si>
  <si>
    <t xml:space="preserve">EMI = P x r x (1+r)^n / ((1+r)^n - 1), where P is the amount, r the monthly rate, n the tenure</t>
  </si>
  <si>
    <t xml:space="preserve">EMI on the statement differs from the formula for the stated plan</t>
  </si>
  <si>
    <t xml:space="preserve">State an 18% plan but bill the EMI of a 24% plan. Check: Rs. 36,295 at 18% a year for 9 months gives Rs. 4,341.24 (MITC illustration)</t>
  </si>
  <si>
    <t xml:space="preserve">C07</t>
  </si>
  <si>
    <t xml:space="preserve">Subscription price increase</t>
  </si>
  <si>
    <t xml:space="preserve">A recurring merchant should charge the same as last month</t>
  </si>
  <si>
    <t xml:space="preserve">This month's charge is higher than last month's</t>
  </si>
  <si>
    <t xml:space="preserve">Change a Rs. 799 subscription to Rs. 999</t>
  </si>
  <si>
    <t xml:space="preserve">C08</t>
  </si>
  <si>
    <t xml:space="preserve">New recurring charge</t>
  </si>
  <si>
    <t xml:space="preserve">A merchant that starts charging every month</t>
  </si>
  <si>
    <t xml:space="preserve">A new subscription appears that was not in earlier months</t>
  </si>
  <si>
    <t xml:space="preserve">Add a new monthly merchant from one month onward</t>
  </si>
  <si>
    <t xml:space="preserve">C09</t>
  </si>
  <si>
    <t xml:space="preserve">Missing refund</t>
  </si>
  <si>
    <t xml:space="preserve">A refund or reversal that the earlier statements lead us to expect</t>
  </si>
  <si>
    <t xml:space="preserve">The refund is not on the statement</t>
  </si>
  <si>
    <t xml:space="preserve">Show a cancelled order with no refund line the next month</t>
  </si>
  <si>
    <t xml:space="preserve">C10</t>
  </si>
  <si>
    <t xml:space="preserve">Totals do not add up</t>
  </si>
  <si>
    <t xml:space="preserve">Opening balance + purchases + fees + interest + GST - payments - refunds</t>
  </si>
  <si>
    <t xml:space="preserve">The result does not equal the closing balance</t>
  </si>
  <si>
    <t xml:space="preserve">Print a closing balance that is Rs. 1,000 too high</t>
  </si>
  <si>
    <t xml:space="preserve">C11</t>
  </si>
  <si>
    <t xml:space="preserve">Fee with no trigger</t>
  </si>
  <si>
    <t xml:space="preserve">Every fee should have a matching event on the statement</t>
  </si>
  <si>
    <t xml:space="preserve">A fee appears with nothing that triggers it</t>
  </si>
  <si>
    <t xml:space="preserve">Add a late fee, cash advance fee or forex fee with no matching event</t>
  </si>
  <si>
    <t xml:space="preserve">C12</t>
  </si>
  <si>
    <t xml:space="preserve">Unknown or new merchant</t>
  </si>
  <si>
    <t xml:space="preserve">Merchants seen in earlier months</t>
  </si>
  <si>
    <t xml:space="preserve">A large charge from a merchant never seen before</t>
  </si>
  <si>
    <t xml:space="preserve">Add one high-value charge from a new merchant name</t>
  </si>
  <si>
    <t xml:space="preserve">Not errors</t>
  </si>
  <si>
    <t xml:space="preserve">Use a few of these in the dummy statements to check that the tool does not raise false alarms.</t>
  </si>
  <si>
    <t xml:space="preserve">Case ID</t>
  </si>
  <si>
    <t xml:space="preserve">Looks wrong</t>
  </si>
  <si>
    <t xml:space="preserve">Why it is allowed (do not raise an alert)</t>
  </si>
  <si>
    <t xml:space="preserve">N01</t>
  </si>
  <si>
    <t xml:space="preserve">Payment made up to 3 days after the due date, with no late fee</t>
  </si>
  <si>
    <t xml:space="preserve">A 3-day grace period applies when nothing is overdue from earlier cycles</t>
  </si>
  <si>
    <t xml:space="preserve">N02</t>
  </si>
  <si>
    <t xml:space="preserve">A purchase is refunded but the foreign currency fee is not</t>
  </si>
  <si>
    <t xml:space="preserve">Foreign currency and currency conversion fees are not reversed on refunds</t>
  </si>
  <si>
    <t xml:space="preserve">1N</t>
  </si>
  <si>
    <t xml:space="preserve">N03</t>
  </si>
  <si>
    <t xml:space="preserve">A transaction is reversed but the over-limit fee stays</t>
  </si>
  <si>
    <t xml:space="preserve">The over-limit fee is not reversed on reversal, cancellation or refund</t>
  </si>
  <si>
    <t xml:space="preserve">1I</t>
  </si>
  <si>
    <t xml:space="preserve">N04</t>
  </si>
  <si>
    <t xml:space="preserve">A rent payment is refunded but the Rs. 199 fee stays</t>
  </si>
  <si>
    <t xml:space="preserve">The rent processing fee is not reversed</t>
  </si>
  <si>
    <t xml:space="preserve">N05</t>
  </si>
  <si>
    <t xml:space="preserve">No payment made, yet no late fee</t>
  </si>
  <si>
    <t xml:space="preserve">A refund credited before the due date for an earlier-cycle purchase counts as payment if it covers the minimum due</t>
  </si>
  <si>
    <t xml:space="preserve">1H example 3, 3j</t>
  </si>
  <si>
    <t xml:space="preserve">N06</t>
  </si>
  <si>
    <t xml:space="preserve">Interest charged in a month where the full bill was paid</t>
  </si>
  <si>
    <t xml:space="preserve">If an earlier balance was carried forward, interest runs on it until the payment date</t>
  </si>
  <si>
    <t xml:space="preserve">1F example 4</t>
  </si>
  <si>
    <t xml:space="preserve">N07</t>
  </si>
  <si>
    <t xml:space="preserve">Interest charged on new purchases straight away</t>
  </si>
  <si>
    <t xml:space="preserve">The interest-free period is suspended while any earlier balance is outstanding</t>
  </si>
  <si>
    <t xml:space="preserve">1E</t>
  </si>
  <si>
    <t xml:space="preserve">EMI plan terms</t>
  </si>
  <si>
    <t xml:space="preserve">Team-chosen dummy plans, inside the issuer's published Flexipay terms. Blue cells are inputs; the rest are formulas. Print the plan terms on the dummy statement.</t>
  </si>
  <si>
    <t xml:space="preserve">Plan ID</t>
  </si>
  <si>
    <t xml:space="preserve">Booking amount (Rs.)</t>
  </si>
  <si>
    <t xml:space="preserve">Annual interest rate</t>
  </si>
  <si>
    <t xml:space="preserve">Tenure (months)</t>
  </si>
  <si>
    <t xml:space="preserve">Processing fee rate</t>
  </si>
  <si>
    <t xml:space="preserve">Monthly EMI (Rs.)</t>
  </si>
  <si>
    <t xml:space="preserve">Processing fee (Rs.)</t>
  </si>
  <si>
    <t xml:space="preserve">GST on processing fee (Rs.)</t>
  </si>
  <si>
    <t xml:space="preserve">Total interest (Rs.)</t>
  </si>
  <si>
    <t xml:space="preserve">Total of all EMIs (Rs.)</t>
  </si>
  <si>
    <t xml:space="preserve">EMI-A</t>
  </si>
  <si>
    <t xml:space="preserve">EMI-B</t>
  </si>
  <si>
    <t xml:space="preserve">EMI-C</t>
  </si>
  <si>
    <t xml:space="preserve">Assumption: every instalment is the same amount. The issuer adjusts the first instalment's interest for the actual number of days; the dummy statements ignore this.</t>
  </si>
  <si>
    <t xml:space="preserve">Assumption: processing fee is 0% for a 3-month tenure and 1% of the booking amount for longer tenures, as in the issuer's Flexipay terms. Any minimum or maximum cap on the fee is not confirmed.</t>
  </si>
  <si>
    <t xml:space="preserve">Plan EMI-B matches the MITC illustration (Rs. 36,295 at 18% for 9 months gives an EMI of Rs. 4,341.24).</t>
  </si>
  <si>
    <t xml:space="preserve">The processing fee and its GST are billed once, in the month the plan is booked.</t>
  </si>
  <si>
    <t xml:space="preserve">EMI schedule</t>
  </si>
  <si>
    <t xml:space="preserve">Month-by-month split for each plan, for rules C02 to C06. All cells are formulas driven by the EMI plans sheet.</t>
  </si>
  <si>
    <t xml:space="preserve">Instalment no.</t>
  </si>
  <si>
    <t xml:space="preserve">Statement label</t>
  </si>
  <si>
    <t xml:space="preserve">Opening principal (Rs.)</t>
  </si>
  <si>
    <t xml:space="preserve">Interest part (Rs.)</t>
  </si>
  <si>
    <t xml:space="preserve">Principal part (Rs.)</t>
  </si>
  <si>
    <t xml:space="preserve">EMI (Rs.)</t>
  </si>
  <si>
    <t xml:space="preserve">Closing principal (Rs.)</t>
  </si>
  <si>
    <t xml:space="preserve">EMI 01/03</t>
  </si>
  <si>
    <t xml:space="preserve">EMI 02/03</t>
  </si>
  <si>
    <t xml:space="preserve">EMI 03/03</t>
  </si>
  <si>
    <t xml:space="preserve">EMI 01/09</t>
  </si>
  <si>
    <t xml:space="preserve">EMI 02/09</t>
  </si>
  <si>
    <t xml:space="preserve">EMI 03/09</t>
  </si>
  <si>
    <t xml:space="preserve">EMI 04/09</t>
  </si>
  <si>
    <t xml:space="preserve">EMI 05/09</t>
  </si>
  <si>
    <t xml:space="preserve">EMI 06/09</t>
  </si>
  <si>
    <t xml:space="preserve">EMI 07/09</t>
  </si>
  <si>
    <t xml:space="preserve">EMI 08/09</t>
  </si>
  <si>
    <t xml:space="preserve">EMI 09/09</t>
  </si>
  <si>
    <t xml:space="preserve">EMI 01/12</t>
  </si>
  <si>
    <t xml:space="preserve">EMI 02/12</t>
  </si>
  <si>
    <t xml:space="preserve">EMI 03/12</t>
  </si>
  <si>
    <t xml:space="preserve">EMI 04/12</t>
  </si>
  <si>
    <t xml:space="preserve">EMI 05/12</t>
  </si>
  <si>
    <t xml:space="preserve">EMI 06/12</t>
  </si>
  <si>
    <t xml:space="preserve">EMI 07/12</t>
  </si>
  <si>
    <t xml:space="preserve">EMI 08/12</t>
  </si>
  <si>
    <t xml:space="preserve">EMI 09/12</t>
  </si>
  <si>
    <t xml:space="preserve">EMI 10/12</t>
  </si>
  <si>
    <t xml:space="preserve">EMI 11/12</t>
  </si>
  <si>
    <t xml:space="preserve">EMI 12/12</t>
  </si>
  <si>
    <t xml:space="preserve">Parameters</t>
  </si>
  <si>
    <t xml:space="preserve">Blue values are inputs copied from the issuer MITC. Percentages are stored as fractions.</t>
  </si>
  <si>
    <t xml:space="preserve">Parameter</t>
  </si>
  <si>
    <t xml:space="preserve">Value</t>
  </si>
  <si>
    <t xml:space="preserve">Unit</t>
  </si>
  <si>
    <t xml:space="preserve">Used by</t>
  </si>
  <si>
    <t xml:space="preserve">finance_charge_monthly</t>
  </si>
  <si>
    <t xml:space="preserve">per month</t>
  </si>
  <si>
    <t xml:space="preserve">F01, F04, F25</t>
  </si>
  <si>
    <t xml:space="preserve">finance_charge_annual</t>
  </si>
  <si>
    <t xml:space="preserve">per year</t>
  </si>
  <si>
    <t xml:space="preserve">min_finance_charge</t>
  </si>
  <si>
    <t xml:space="preserve">Rs.</t>
  </si>
  <si>
    <t xml:space="preserve">cash_advance_fee_rate</t>
  </si>
  <si>
    <t xml:space="preserve">of amount</t>
  </si>
  <si>
    <t xml:space="preserve">cash_advance_fee_min</t>
  </si>
  <si>
    <t xml:space="preserve">late_fee_grace_days</t>
  </si>
  <si>
    <t xml:space="preserve">days</t>
  </si>
  <si>
    <t xml:space="preserve">additional_late_charge</t>
  </si>
  <si>
    <t xml:space="preserve">overlimit_fee_rate</t>
  </si>
  <si>
    <t xml:space="preserve">of over-limit amount</t>
  </si>
  <si>
    <t xml:space="preserve">overlimit_fee_min</t>
  </si>
  <si>
    <t xml:space="preserve">dishonour_fee_rate</t>
  </si>
  <si>
    <t xml:space="preserve">of payment amount</t>
  </si>
  <si>
    <t xml:space="preserve">dishonour_fee_min</t>
  </si>
  <si>
    <t xml:space="preserve">forex_fee_rate</t>
  </si>
  <si>
    <t xml:space="preserve">of INR amount</t>
  </si>
  <si>
    <t xml:space="preserve">dcc_fee_rate</t>
  </si>
  <si>
    <t xml:space="preserve">dcc_min_transaction</t>
  </si>
  <si>
    <t xml:space="preserve">gst_rate</t>
  </si>
  <si>
    <t xml:space="preserve">of fees and interest</t>
  </si>
  <si>
    <t xml:space="preserve">mad_remaining_balance_rate</t>
  </si>
  <si>
    <t xml:space="preserve">of remaining balance</t>
  </si>
  <si>
    <t xml:space="preserve">1G</t>
  </si>
  <si>
    <t xml:space="preserve">mad_floor</t>
  </si>
  <si>
    <t xml:space="preserve">3b</t>
  </si>
  <si>
    <t xml:space="preserve">due_date_days</t>
  </si>
  <si>
    <t xml:space="preserve">days after statement date</t>
  </si>
  <si>
    <t xml:space="preserve">utility_fee_rate</t>
  </si>
  <si>
    <t xml:space="preserve">of utility total</t>
  </si>
  <si>
    <t xml:space="preserve">utility_fee_threshold</t>
  </si>
  <si>
    <t xml:space="preserve">Rs. per cycle</t>
  </si>
  <si>
    <t xml:space="preserve">education_fee_rate</t>
  </si>
  <si>
    <t xml:space="preserve">wallet_fee_rate</t>
  </si>
  <si>
    <t xml:space="preserve">wallet_fee_threshold</t>
  </si>
  <si>
    <t xml:space="preserve">rent_processing_fee</t>
  </si>
  <si>
    <t xml:space="preserve">fuel_surcharge_rate</t>
  </si>
  <si>
    <t xml:space="preserve">cash_payment_fee</t>
  </si>
  <si>
    <t xml:space="preserve">cheque_payment_fee</t>
  </si>
  <si>
    <t xml:space="preserve">rewards_redemption_fee</t>
  </si>
  <si>
    <t xml:space="preserve">card_replacement_fee_min</t>
  </si>
  <si>
    <t xml:space="preserve">card_replacement_fee_max</t>
  </si>
  <si>
    <t xml:space="preserve">dispute_window_days</t>
  </si>
  <si>
    <t xml:space="preserve">days from transaction (Visa, Mastercard, Amex; RuPay international)</t>
  </si>
  <si>
    <t xml:space="preserve">Dispute deadline</t>
  </si>
  <si>
    <t xml:space="preserve">3g</t>
  </si>
  <si>
    <t xml:space="preserve">dispute_window_days_rupay_domestic</t>
  </si>
  <si>
    <t xml:space="preserve">days from transaction (RuPay domestic and UPI)</t>
  </si>
  <si>
    <t xml:space="preserve">rounding_tolerance</t>
  </si>
  <si>
    <t xml:space="preserve">Rs. (team assumption, not from the MITC)</t>
  </si>
  <si>
    <t xml:space="preserve">All rules</t>
  </si>
  <si>
    <t xml:space="preserve">-</t>
  </si>
  <si>
    <t xml:space="preserve">Late fee slabs</t>
  </si>
  <si>
    <t xml:space="preserve">Rule F06. Pick the row where the outstanding amount due is greater than the lower bound and up to the upper bound. Fee is before GST.</t>
  </si>
  <si>
    <t xml:space="preserve">Amount due greater than (Rs.)</t>
  </si>
  <si>
    <t xml:space="preserve">Up to (Rs.)</t>
  </si>
  <si>
    <t xml:space="preserve">Late fee (Rs.)</t>
  </si>
  <si>
    <t xml:space="preserve">No upper limit</t>
  </si>
  <si>
    <t xml:space="preserve">Source</t>
  </si>
  <si>
    <t xml:space="preserve">Where the fee values on the other sheets came from.</t>
  </si>
  <si>
    <t xml:space="preserve">Document</t>
  </si>
  <si>
    <t xml:space="preserve">SBI Card, Most Important Terms and Conditions (English), version FY 27, 16</t>
  </si>
  <si>
    <t xml:space="preserve">Stated date</t>
  </si>
  <si>
    <t xml:space="preserve">All information correct as on 25 September 2026, per the document</t>
  </si>
  <si>
    <t xml:space="preserve">URL</t>
  </si>
  <si>
    <t xml:space="preserve">https://www.sbicard.com/sbi-card-en/assets/docs/pdf/most-important-terms-and-conditions/mitc-english.pdf</t>
  </si>
  <si>
    <t xml:space="preserve">Retrieved</t>
  </si>
  <si>
    <t xml:space="preserve">6 October 2026</t>
  </si>
  <si>
    <t xml:space="preserve">Not in the MITC</t>
  </si>
  <si>
    <t xml:space="preserve">EMI processing fee and EMI interest rate per plan, and the annual fee of the specific dummy card. These are set by the team per dummy card.</t>
  </si>
  <si>
    <t xml:space="preserve">Note</t>
  </si>
  <si>
    <t xml:space="preserve">Internal reference only. Remove this sheet before sharing outside the team, since the project does not name the bank.</t>
  </si>
  <si>
    <t xml:space="preserve">EMI terms</t>
  </si>
  <si>
    <t xml:space="preserve">SBI Card Flexipay terms and conditions (sbicard.com, tnc documents). Rate range and processing fee vary by offer and customer segment; the EMI plans sheet uses fixed team-chosen values inside those terms.</t>
  </si>
</sst>
</file>

<file path=xl/styles.xml><?xml version="1.0" encoding="utf-8"?>
<styleSheet xmlns="http://schemas.openxmlformats.org/spreadsheetml/2006/main">
  <numFmts count="5">
    <numFmt numFmtId="164" formatCode="General"/>
    <numFmt numFmtId="165" formatCode="#,##0"/>
    <numFmt numFmtId="166" formatCode="0.00%"/>
    <numFmt numFmtId="167" formatCode="0"/>
    <numFmt numFmtId="168" formatCode="#,##0.00"/>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1"/>
      <color rgb="FF595959"/>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6" fontId="8" fillId="0" borderId="1" xfId="0" applyFont="true" applyBorder="true" applyAlignment="true" applyProtection="false">
      <alignment horizontal="general" vertical="top" textRotation="0" wrapText="true" indent="0" shrinkToFit="false"/>
      <protection locked="true" hidden="false"/>
    </xf>
    <xf numFmtId="167" fontId="8" fillId="0" borderId="1" xfId="0" applyFont="true" applyBorder="true" applyAlignment="true" applyProtection="false">
      <alignment horizontal="general" vertical="top" textRotation="0" wrapText="true" indent="0" shrinkToFit="false"/>
      <protection locked="true" hidden="false"/>
    </xf>
    <xf numFmtId="168" fontId="7" fillId="0" borderId="1" xfId="0" applyFont="true" applyBorder="true" applyAlignment="true" applyProtection="false">
      <alignment horizontal="general" vertical="top" textRotation="0" wrapText="true" indent="0" shrinkToFit="false"/>
      <protection locked="true" hidden="false"/>
    </xf>
    <xf numFmtId="167"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row>
    <row r="5" customFormat="false" ht="15" hidden="false" customHeight="false" outlineLevel="0" collapsed="false">
      <c r="A5" s="4" t="s">
        <v>4</v>
      </c>
      <c r="B5" s="4" t="s">
        <v>5</v>
      </c>
    </row>
    <row r="6" customFormat="false" ht="26.85" hidden="false" customHeight="false" outlineLevel="0" collapsed="false">
      <c r="A6" s="4" t="s">
        <v>6</v>
      </c>
      <c r="B6" s="4" t="s">
        <v>7</v>
      </c>
    </row>
    <row r="7" customFormat="false" ht="39.55" hidden="false" customHeight="false" outlineLevel="0" collapsed="false">
      <c r="A7" s="4" t="s">
        <v>8</v>
      </c>
      <c r="B7" s="4" t="s">
        <v>9</v>
      </c>
    </row>
    <row r="8" customFormat="false" ht="26.85" hidden="false" customHeight="false" outlineLevel="0" collapsed="false">
      <c r="A8" s="4" t="s">
        <v>10</v>
      </c>
      <c r="B8" s="4" t="s">
        <v>11</v>
      </c>
    </row>
    <row r="9" customFormat="false" ht="26.85" hidden="false" customHeight="false" outlineLevel="0" collapsed="false">
      <c r="A9" s="4" t="s">
        <v>12</v>
      </c>
      <c r="B9" s="4" t="s">
        <v>13</v>
      </c>
    </row>
    <row r="10" customFormat="false" ht="26.85" hidden="false" customHeight="false" outlineLevel="0" collapsed="false">
      <c r="A10" s="4" t="s">
        <v>14</v>
      </c>
      <c r="B10" s="4" t="s">
        <v>15</v>
      </c>
    </row>
    <row r="11" customFormat="false" ht="15" hidden="false" customHeight="false" outlineLevel="0" collapsed="false">
      <c r="A11" s="4" t="s">
        <v>16</v>
      </c>
      <c r="B11" s="4" t="s">
        <v>17</v>
      </c>
    </row>
    <row r="12" customFormat="false" ht="26.85" hidden="false" customHeight="false" outlineLevel="0" collapsed="false">
      <c r="A12" s="4" t="s">
        <v>18</v>
      </c>
      <c r="B12" s="4" t="s">
        <v>19</v>
      </c>
    </row>
    <row r="13" customFormat="false" ht="26.85" hidden="false" customHeight="false" outlineLevel="0" collapsed="false">
      <c r="A13" s="4" t="s">
        <v>20</v>
      </c>
      <c r="B13" s="4"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3" min="3" style="0" width="34"/>
    <col collapsed="false" customWidth="true" hidden="false" outlineLevel="0" max="4" min="4" style="0" width="38"/>
    <col collapsed="false" customWidth="true" hidden="false" outlineLevel="0" max="7" min="5" style="0" width="36"/>
    <col collapsed="false" customWidth="true" hidden="false" outlineLevel="0" max="8" min="8" style="0" width="12"/>
  </cols>
  <sheetData>
    <row r="1" customFormat="false" ht="17.35" hidden="false" customHeight="false" outlineLevel="0" collapsed="false">
      <c r="A1" s="1" t="s">
        <v>22</v>
      </c>
    </row>
    <row r="2" customFormat="false" ht="15" hidden="false" customHeight="false" outlineLevel="0" collapsed="false">
      <c r="A2" s="2" t="s">
        <v>23</v>
      </c>
    </row>
    <row r="4" customFormat="false" ht="26.85" hidden="false" customHeight="false" outlineLevel="0" collapsed="false">
      <c r="A4" s="3" t="s">
        <v>24</v>
      </c>
      <c r="B4" s="3" t="s">
        <v>25</v>
      </c>
      <c r="C4" s="3" t="s">
        <v>26</v>
      </c>
      <c r="D4" s="3" t="s">
        <v>27</v>
      </c>
      <c r="E4" s="3" t="s">
        <v>28</v>
      </c>
      <c r="F4" s="3" t="s">
        <v>29</v>
      </c>
      <c r="G4" s="3" t="s">
        <v>30</v>
      </c>
      <c r="H4" s="3" t="s">
        <v>31</v>
      </c>
    </row>
    <row r="5" customFormat="false" ht="39.55" hidden="false" customHeight="false" outlineLevel="0" collapsed="false">
      <c r="A5" s="4" t="s">
        <v>32</v>
      </c>
      <c r="B5" s="4" t="s">
        <v>33</v>
      </c>
      <c r="C5" s="4" t="s">
        <v>34</v>
      </c>
      <c r="D5" s="4" t="s">
        <v>35</v>
      </c>
      <c r="E5" s="4" t="s">
        <v>36</v>
      </c>
      <c r="F5" s="4" t="s">
        <v>37</v>
      </c>
      <c r="G5" s="4" t="s">
        <v>38</v>
      </c>
      <c r="H5" s="4" t="s">
        <v>39</v>
      </c>
    </row>
    <row r="6" customFormat="false" ht="39.55" hidden="false" customHeight="false" outlineLevel="0" collapsed="false">
      <c r="A6" s="4" t="s">
        <v>40</v>
      </c>
      <c r="B6" s="4" t="s">
        <v>41</v>
      </c>
      <c r="C6" s="4" t="s">
        <v>42</v>
      </c>
      <c r="D6" s="4" t="s">
        <v>43</v>
      </c>
      <c r="E6" s="4" t="s">
        <v>44</v>
      </c>
      <c r="F6" s="4" t="s">
        <v>45</v>
      </c>
      <c r="G6" s="4"/>
      <c r="H6" s="4" t="s">
        <v>46</v>
      </c>
    </row>
    <row r="7" customFormat="false" ht="26.85" hidden="false" customHeight="false" outlineLevel="0" collapsed="false">
      <c r="A7" s="4" t="s">
        <v>47</v>
      </c>
      <c r="B7" s="4" t="s">
        <v>48</v>
      </c>
      <c r="C7" s="4" t="s">
        <v>49</v>
      </c>
      <c r="D7" s="4" t="s">
        <v>50</v>
      </c>
      <c r="E7" s="4" t="s">
        <v>51</v>
      </c>
      <c r="F7" s="4" t="s">
        <v>52</v>
      </c>
      <c r="G7" s="4"/>
      <c r="H7" s="4" t="s">
        <v>53</v>
      </c>
    </row>
    <row r="8" customFormat="false" ht="26.85" hidden="false" customHeight="false" outlineLevel="0" collapsed="false">
      <c r="A8" s="4" t="s">
        <v>54</v>
      </c>
      <c r="B8" s="4" t="s">
        <v>55</v>
      </c>
      <c r="C8" s="4" t="s">
        <v>56</v>
      </c>
      <c r="D8" s="4" t="s">
        <v>57</v>
      </c>
      <c r="E8" s="4" t="s">
        <v>58</v>
      </c>
      <c r="F8" s="4" t="s">
        <v>59</v>
      </c>
      <c r="G8" s="4"/>
      <c r="H8" s="4" t="s">
        <v>60</v>
      </c>
    </row>
    <row r="9" customFormat="false" ht="26.85" hidden="false" customHeight="false" outlineLevel="0" collapsed="false">
      <c r="A9" s="4" t="s">
        <v>61</v>
      </c>
      <c r="B9" s="4" t="s">
        <v>62</v>
      </c>
      <c r="C9" s="4" t="s">
        <v>63</v>
      </c>
      <c r="D9" s="4" t="s">
        <v>64</v>
      </c>
      <c r="E9" s="4" t="s">
        <v>65</v>
      </c>
      <c r="F9" s="4" t="s">
        <v>66</v>
      </c>
      <c r="G9" s="4" t="s">
        <v>67</v>
      </c>
      <c r="H9" s="4" t="s">
        <v>68</v>
      </c>
    </row>
    <row r="10" customFormat="false" ht="39.55" hidden="false" customHeight="false" outlineLevel="0" collapsed="false">
      <c r="A10" s="4" t="s">
        <v>69</v>
      </c>
      <c r="B10" s="4" t="s">
        <v>70</v>
      </c>
      <c r="C10" s="4" t="s">
        <v>71</v>
      </c>
      <c r="D10" s="4" t="s">
        <v>72</v>
      </c>
      <c r="E10" s="4" t="s">
        <v>73</v>
      </c>
      <c r="F10" s="4" t="s">
        <v>74</v>
      </c>
      <c r="G10" s="4" t="s">
        <v>75</v>
      </c>
      <c r="H10" s="4" t="s">
        <v>76</v>
      </c>
    </row>
    <row r="11" customFormat="false" ht="39.55" hidden="false" customHeight="false" outlineLevel="0" collapsed="false">
      <c r="A11" s="4" t="s">
        <v>77</v>
      </c>
      <c r="B11" s="4" t="s">
        <v>78</v>
      </c>
      <c r="C11" s="4" t="s">
        <v>79</v>
      </c>
      <c r="D11" s="4" t="s">
        <v>80</v>
      </c>
      <c r="E11" s="4" t="s">
        <v>81</v>
      </c>
      <c r="F11" s="4" t="s">
        <v>82</v>
      </c>
      <c r="G11" s="4"/>
      <c r="H11" s="4" t="s">
        <v>76</v>
      </c>
    </row>
    <row r="12" customFormat="false" ht="26.85" hidden="false" customHeight="false" outlineLevel="0" collapsed="false">
      <c r="A12" s="4" t="s">
        <v>83</v>
      </c>
      <c r="B12" s="4" t="s">
        <v>84</v>
      </c>
      <c r="C12" s="4" t="s">
        <v>85</v>
      </c>
      <c r="D12" s="4" t="s">
        <v>86</v>
      </c>
      <c r="E12" s="4" t="s">
        <v>87</v>
      </c>
      <c r="F12" s="4" t="s">
        <v>88</v>
      </c>
      <c r="G12" s="4" t="s">
        <v>89</v>
      </c>
      <c r="H12" s="4" t="s">
        <v>90</v>
      </c>
    </row>
    <row r="13" customFormat="false" ht="26.85" hidden="false" customHeight="false" outlineLevel="0" collapsed="false">
      <c r="A13" s="4" t="s">
        <v>91</v>
      </c>
      <c r="B13" s="4" t="s">
        <v>92</v>
      </c>
      <c r="C13" s="4" t="s">
        <v>93</v>
      </c>
      <c r="D13" s="4" t="s">
        <v>94</v>
      </c>
      <c r="E13" s="4" t="s">
        <v>95</v>
      </c>
      <c r="F13" s="4" t="s">
        <v>96</v>
      </c>
      <c r="G13" s="4" t="s">
        <v>97</v>
      </c>
      <c r="H13" s="4" t="s">
        <v>98</v>
      </c>
    </row>
    <row r="14" customFormat="false" ht="26.85" hidden="false" customHeight="false" outlineLevel="0" collapsed="false">
      <c r="A14" s="4" t="s">
        <v>99</v>
      </c>
      <c r="B14" s="4" t="s">
        <v>100</v>
      </c>
      <c r="C14" s="4" t="s">
        <v>101</v>
      </c>
      <c r="D14" s="4" t="s">
        <v>102</v>
      </c>
      <c r="E14" s="4" t="s">
        <v>103</v>
      </c>
      <c r="F14" s="4" t="s">
        <v>104</v>
      </c>
      <c r="G14" s="4" t="s">
        <v>105</v>
      </c>
      <c r="H14" s="4" t="s">
        <v>106</v>
      </c>
    </row>
    <row r="15" customFormat="false" ht="39.55" hidden="false" customHeight="false" outlineLevel="0" collapsed="false">
      <c r="A15" s="4" t="s">
        <v>107</v>
      </c>
      <c r="B15" s="4" t="s">
        <v>108</v>
      </c>
      <c r="C15" s="4" t="s">
        <v>109</v>
      </c>
      <c r="D15" s="4" t="s">
        <v>110</v>
      </c>
      <c r="E15" s="4" t="s">
        <v>111</v>
      </c>
      <c r="F15" s="4" t="s">
        <v>112</v>
      </c>
      <c r="G15" s="4"/>
      <c r="H15" s="4" t="s">
        <v>106</v>
      </c>
    </row>
    <row r="16" customFormat="false" ht="52.2" hidden="false" customHeight="false" outlineLevel="0" collapsed="false">
      <c r="A16" s="4" t="s">
        <v>113</v>
      </c>
      <c r="B16" s="4" t="s">
        <v>114</v>
      </c>
      <c r="C16" s="4" t="s">
        <v>115</v>
      </c>
      <c r="D16" s="4" t="s">
        <v>116</v>
      </c>
      <c r="E16" s="4" t="s">
        <v>117</v>
      </c>
      <c r="F16" s="4" t="s">
        <v>118</v>
      </c>
      <c r="G16" s="4"/>
      <c r="H16" s="4" t="s">
        <v>119</v>
      </c>
    </row>
    <row r="17" customFormat="false" ht="26.85" hidden="false" customHeight="false" outlineLevel="0" collapsed="false">
      <c r="A17" s="4" t="s">
        <v>120</v>
      </c>
      <c r="B17" s="4" t="s">
        <v>121</v>
      </c>
      <c r="C17" s="4" t="s">
        <v>122</v>
      </c>
      <c r="D17" s="4" t="s">
        <v>123</v>
      </c>
      <c r="E17" s="4" t="s">
        <v>124</v>
      </c>
      <c r="F17" s="4" t="s">
        <v>125</v>
      </c>
      <c r="G17" s="4" t="s">
        <v>126</v>
      </c>
      <c r="H17" s="4" t="s">
        <v>127</v>
      </c>
    </row>
    <row r="18" customFormat="false" ht="64.9" hidden="false" customHeight="false" outlineLevel="0" collapsed="false">
      <c r="A18" s="4" t="s">
        <v>128</v>
      </c>
      <c r="B18" s="4" t="s">
        <v>129</v>
      </c>
      <c r="C18" s="4" t="s">
        <v>130</v>
      </c>
      <c r="D18" s="4" t="s">
        <v>131</v>
      </c>
      <c r="E18" s="4" t="s">
        <v>132</v>
      </c>
      <c r="F18" s="4" t="s">
        <v>133</v>
      </c>
      <c r="G18" s="4" t="s">
        <v>134</v>
      </c>
      <c r="H18" s="4" t="s">
        <v>135</v>
      </c>
    </row>
    <row r="19" customFormat="false" ht="26.85" hidden="false" customHeight="false" outlineLevel="0" collapsed="false">
      <c r="A19" s="4" t="s">
        <v>136</v>
      </c>
      <c r="B19" s="4" t="s">
        <v>137</v>
      </c>
      <c r="C19" s="4" t="s">
        <v>130</v>
      </c>
      <c r="D19" s="4" t="s">
        <v>138</v>
      </c>
      <c r="E19" s="4" t="s">
        <v>139</v>
      </c>
      <c r="F19" s="4" t="s">
        <v>140</v>
      </c>
      <c r="G19" s="4" t="s">
        <v>141</v>
      </c>
      <c r="H19" s="4" t="s">
        <v>142</v>
      </c>
    </row>
    <row r="20" customFormat="false" ht="26.85" hidden="false" customHeight="false" outlineLevel="0" collapsed="false">
      <c r="A20" s="4" t="s">
        <v>143</v>
      </c>
      <c r="B20" s="4" t="s">
        <v>144</v>
      </c>
      <c r="C20" s="4" t="s">
        <v>145</v>
      </c>
      <c r="D20" s="4" t="s">
        <v>146</v>
      </c>
      <c r="E20" s="4" t="s">
        <v>147</v>
      </c>
      <c r="F20" s="4" t="s">
        <v>148</v>
      </c>
      <c r="G20" s="4" t="s">
        <v>149</v>
      </c>
      <c r="H20" s="4" t="s">
        <v>150</v>
      </c>
    </row>
    <row r="21" customFormat="false" ht="39.55" hidden="false" customHeight="false" outlineLevel="0" collapsed="false">
      <c r="A21" s="4" t="s">
        <v>151</v>
      </c>
      <c r="B21" s="4" t="s">
        <v>152</v>
      </c>
      <c r="C21" s="4" t="s">
        <v>153</v>
      </c>
      <c r="D21" s="4" t="s">
        <v>154</v>
      </c>
      <c r="E21" s="4" t="s">
        <v>155</v>
      </c>
      <c r="F21" s="4" t="s">
        <v>156</v>
      </c>
      <c r="G21" s="4"/>
      <c r="H21" s="4" t="s">
        <v>157</v>
      </c>
    </row>
    <row r="22" customFormat="false" ht="26.85" hidden="false" customHeight="false" outlineLevel="0" collapsed="false">
      <c r="A22" s="4" t="s">
        <v>158</v>
      </c>
      <c r="B22" s="4" t="s">
        <v>159</v>
      </c>
      <c r="C22" s="4" t="s">
        <v>160</v>
      </c>
      <c r="D22" s="4" t="s">
        <v>154</v>
      </c>
      <c r="E22" s="4" t="s">
        <v>161</v>
      </c>
      <c r="F22" s="4" t="s">
        <v>162</v>
      </c>
      <c r="G22" s="4" t="s">
        <v>163</v>
      </c>
      <c r="H22" s="4" t="s">
        <v>164</v>
      </c>
    </row>
    <row r="23" customFormat="false" ht="26.85" hidden="false" customHeight="false" outlineLevel="0" collapsed="false">
      <c r="A23" s="4" t="s">
        <v>165</v>
      </c>
      <c r="B23" s="4" t="s">
        <v>166</v>
      </c>
      <c r="C23" s="4" t="s">
        <v>167</v>
      </c>
      <c r="D23" s="4" t="s">
        <v>168</v>
      </c>
      <c r="E23" s="4" t="s">
        <v>169</v>
      </c>
      <c r="F23" s="4" t="s">
        <v>170</v>
      </c>
      <c r="G23" s="4"/>
      <c r="H23" s="4" t="s">
        <v>106</v>
      </c>
    </row>
    <row r="24" customFormat="false" ht="15" hidden="false" customHeight="false" outlineLevel="0" collapsed="false">
      <c r="A24" s="4" t="s">
        <v>171</v>
      </c>
      <c r="B24" s="4" t="s">
        <v>172</v>
      </c>
      <c r="C24" s="4" t="s">
        <v>173</v>
      </c>
      <c r="D24" s="4" t="s">
        <v>174</v>
      </c>
      <c r="E24" s="4" t="s">
        <v>175</v>
      </c>
      <c r="F24" s="4" t="s">
        <v>176</v>
      </c>
      <c r="G24" s="4"/>
      <c r="H24" s="4" t="s">
        <v>127</v>
      </c>
    </row>
    <row r="25" customFormat="false" ht="26.85" hidden="false" customHeight="false" outlineLevel="0" collapsed="false">
      <c r="A25" s="4" t="s">
        <v>177</v>
      </c>
      <c r="B25" s="4" t="s">
        <v>178</v>
      </c>
      <c r="C25" s="4" t="s">
        <v>179</v>
      </c>
      <c r="D25" s="4" t="s">
        <v>180</v>
      </c>
      <c r="E25" s="4" t="s">
        <v>181</v>
      </c>
      <c r="F25" s="4" t="s">
        <v>182</v>
      </c>
      <c r="G25" s="4"/>
      <c r="H25" s="4" t="s">
        <v>183</v>
      </c>
    </row>
    <row r="26" customFormat="false" ht="26.85" hidden="false" customHeight="false" outlineLevel="0" collapsed="false">
      <c r="A26" s="4" t="s">
        <v>184</v>
      </c>
      <c r="B26" s="4" t="s">
        <v>185</v>
      </c>
      <c r="C26" s="4" t="s">
        <v>186</v>
      </c>
      <c r="D26" s="4" t="s">
        <v>187</v>
      </c>
      <c r="E26" s="4" t="s">
        <v>188</v>
      </c>
      <c r="F26" s="4" t="s">
        <v>182</v>
      </c>
      <c r="G26" s="4"/>
      <c r="H26" s="4" t="s">
        <v>106</v>
      </c>
    </row>
    <row r="27" customFormat="false" ht="39.55" hidden="false" customHeight="false" outlineLevel="0" collapsed="false">
      <c r="A27" s="4" t="s">
        <v>189</v>
      </c>
      <c r="B27" s="4" t="s">
        <v>190</v>
      </c>
      <c r="C27" s="4" t="s">
        <v>191</v>
      </c>
      <c r="D27" s="4" t="s">
        <v>192</v>
      </c>
      <c r="E27" s="4" t="s">
        <v>193</v>
      </c>
      <c r="F27" s="4" t="s">
        <v>194</v>
      </c>
      <c r="G27" s="4"/>
      <c r="H27" s="4" t="s">
        <v>106</v>
      </c>
    </row>
    <row r="28" customFormat="false" ht="26.85" hidden="false" customHeight="false" outlineLevel="0" collapsed="false">
      <c r="A28" s="4" t="s">
        <v>195</v>
      </c>
      <c r="B28" s="4" t="s">
        <v>196</v>
      </c>
      <c r="C28" s="4" t="s">
        <v>197</v>
      </c>
      <c r="D28" s="4" t="s">
        <v>198</v>
      </c>
      <c r="E28" s="4" t="s">
        <v>199</v>
      </c>
      <c r="F28" s="4" t="s">
        <v>200</v>
      </c>
      <c r="G28" s="4"/>
      <c r="H28" s="4" t="s">
        <v>106</v>
      </c>
    </row>
    <row r="29" customFormat="false" ht="39.55" hidden="false" customHeight="false" outlineLevel="0" collapsed="false">
      <c r="A29" s="4" t="s">
        <v>201</v>
      </c>
      <c r="B29" s="4" t="s">
        <v>202</v>
      </c>
      <c r="C29" s="4" t="s">
        <v>203</v>
      </c>
      <c r="D29" s="4" t="s">
        <v>204</v>
      </c>
      <c r="E29" s="4" t="s">
        <v>205</v>
      </c>
      <c r="F29" s="4" t="s">
        <v>206</v>
      </c>
      <c r="G29" s="4" t="s">
        <v>207</v>
      </c>
      <c r="H29" s="4" t="s">
        <v>208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3" min="3" style="0" width="48"/>
    <col collapsed="false" customWidth="true" hidden="false" outlineLevel="0" max="4" min="4" style="0" width="44"/>
    <col collapsed="false" customWidth="true" hidden="false" outlineLevel="0" max="5" min="5" style="0" width="52"/>
  </cols>
  <sheetData>
    <row r="1" customFormat="false" ht="17.35" hidden="false" customHeight="false" outlineLevel="0" collapsed="false">
      <c r="A1" s="1" t="s">
        <v>209</v>
      </c>
    </row>
    <row r="2" customFormat="false" ht="15" hidden="false" customHeight="false" outlineLevel="0" collapsed="false">
      <c r="A2" s="2" t="s">
        <v>210</v>
      </c>
    </row>
    <row r="4" customFormat="false" ht="15" hidden="false" customHeight="false" outlineLevel="0" collapsed="false">
      <c r="A4" s="3" t="s">
        <v>24</v>
      </c>
      <c r="B4" s="3" t="s">
        <v>25</v>
      </c>
      <c r="C4" s="3" t="s">
        <v>211</v>
      </c>
      <c r="D4" s="3" t="s">
        <v>28</v>
      </c>
      <c r="E4" s="3" t="s">
        <v>29</v>
      </c>
    </row>
    <row r="5" customFormat="false" ht="26.85" hidden="false" customHeight="false" outlineLevel="0" collapsed="false">
      <c r="A5" s="4" t="s">
        <v>212</v>
      </c>
      <c r="B5" s="4" t="s">
        <v>213</v>
      </c>
      <c r="C5" s="4" t="s">
        <v>214</v>
      </c>
      <c r="D5" s="4" t="s">
        <v>215</v>
      </c>
      <c r="E5" s="4" t="s">
        <v>216</v>
      </c>
    </row>
    <row r="6" customFormat="false" ht="26.85" hidden="false" customHeight="false" outlineLevel="0" collapsed="false">
      <c r="A6" s="4" t="s">
        <v>217</v>
      </c>
      <c r="B6" s="4" t="s">
        <v>218</v>
      </c>
      <c r="C6" s="4" t="s">
        <v>219</v>
      </c>
      <c r="D6" s="4" t="s">
        <v>220</v>
      </c>
      <c r="E6" s="4" t="s">
        <v>221</v>
      </c>
    </row>
    <row r="7" customFormat="false" ht="15" hidden="false" customHeight="false" outlineLevel="0" collapsed="false">
      <c r="A7" s="4" t="s">
        <v>222</v>
      </c>
      <c r="B7" s="4" t="s">
        <v>223</v>
      </c>
      <c r="C7" s="4" t="s">
        <v>224</v>
      </c>
      <c r="D7" s="4" t="s">
        <v>225</v>
      </c>
      <c r="E7" s="4" t="s">
        <v>226</v>
      </c>
    </row>
    <row r="8" customFormat="false" ht="26.85" hidden="false" customHeight="false" outlineLevel="0" collapsed="false">
      <c r="A8" s="4" t="s">
        <v>227</v>
      </c>
      <c r="B8" s="4" t="s">
        <v>228</v>
      </c>
      <c r="C8" s="4" t="s">
        <v>229</v>
      </c>
      <c r="D8" s="4" t="s">
        <v>230</v>
      </c>
      <c r="E8" s="4" t="s">
        <v>231</v>
      </c>
    </row>
    <row r="9" customFormat="false" ht="26.85" hidden="false" customHeight="false" outlineLevel="0" collapsed="false">
      <c r="A9" s="4" t="s">
        <v>232</v>
      </c>
      <c r="B9" s="4" t="s">
        <v>233</v>
      </c>
      <c r="C9" s="4" t="s">
        <v>234</v>
      </c>
      <c r="D9" s="4" t="s">
        <v>235</v>
      </c>
      <c r="E9" s="4" t="s">
        <v>236</v>
      </c>
    </row>
    <row r="10" customFormat="false" ht="39.55" hidden="false" customHeight="false" outlineLevel="0" collapsed="false">
      <c r="A10" s="4" t="s">
        <v>237</v>
      </c>
      <c r="B10" s="4" t="s">
        <v>238</v>
      </c>
      <c r="C10" s="4" t="s">
        <v>239</v>
      </c>
      <c r="D10" s="4" t="s">
        <v>240</v>
      </c>
      <c r="E10" s="4" t="s">
        <v>241</v>
      </c>
    </row>
    <row r="11" customFormat="false" ht="26.85" hidden="false" customHeight="false" outlineLevel="0" collapsed="false">
      <c r="A11" s="4" t="s">
        <v>242</v>
      </c>
      <c r="B11" s="4" t="s">
        <v>243</v>
      </c>
      <c r="C11" s="4" t="s">
        <v>244</v>
      </c>
      <c r="D11" s="4" t="s">
        <v>245</v>
      </c>
      <c r="E11" s="4" t="s">
        <v>246</v>
      </c>
    </row>
    <row r="12" customFormat="false" ht="26.85" hidden="false" customHeight="false" outlineLevel="0" collapsed="false">
      <c r="A12" s="4" t="s">
        <v>247</v>
      </c>
      <c r="B12" s="4" t="s">
        <v>248</v>
      </c>
      <c r="C12" s="4" t="s">
        <v>249</v>
      </c>
      <c r="D12" s="4" t="s">
        <v>250</v>
      </c>
      <c r="E12" s="4" t="s">
        <v>251</v>
      </c>
    </row>
    <row r="13" customFormat="false" ht="26.85" hidden="false" customHeight="false" outlineLevel="0" collapsed="false">
      <c r="A13" s="4" t="s">
        <v>252</v>
      </c>
      <c r="B13" s="4" t="s">
        <v>253</v>
      </c>
      <c r="C13" s="4" t="s">
        <v>254</v>
      </c>
      <c r="D13" s="4" t="s">
        <v>255</v>
      </c>
      <c r="E13" s="4" t="s">
        <v>256</v>
      </c>
    </row>
    <row r="14" customFormat="false" ht="26.85" hidden="false" customHeight="false" outlineLevel="0" collapsed="false">
      <c r="A14" s="4" t="s">
        <v>257</v>
      </c>
      <c r="B14" s="4" t="s">
        <v>258</v>
      </c>
      <c r="C14" s="4" t="s">
        <v>259</v>
      </c>
      <c r="D14" s="4" t="s">
        <v>260</v>
      </c>
      <c r="E14" s="4" t="s">
        <v>261</v>
      </c>
    </row>
    <row r="15" customFormat="false" ht="26.85" hidden="false" customHeight="false" outlineLevel="0" collapsed="false">
      <c r="A15" s="4" t="s">
        <v>262</v>
      </c>
      <c r="B15" s="4" t="s">
        <v>263</v>
      </c>
      <c r="C15" s="4" t="s">
        <v>264</v>
      </c>
      <c r="D15" s="4" t="s">
        <v>265</v>
      </c>
      <c r="E15" s="4" t="s">
        <v>266</v>
      </c>
    </row>
    <row r="16" customFormat="false" ht="26.85" hidden="false" customHeight="false" outlineLevel="0" collapsed="false">
      <c r="A16" s="4" t="s">
        <v>267</v>
      </c>
      <c r="B16" s="4" t="s">
        <v>268</v>
      </c>
      <c r="C16" s="4" t="s">
        <v>269</v>
      </c>
      <c r="D16" s="4" t="s">
        <v>270</v>
      </c>
      <c r="E16" s="4" t="s">
        <v>271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8"/>
    <col collapsed="false" customWidth="true" hidden="false" outlineLevel="0" max="3" min="3" style="0" width="70"/>
    <col collapsed="false" customWidth="true" hidden="false" outlineLevel="0" max="4" min="4" style="0" width="18"/>
  </cols>
  <sheetData>
    <row r="1" customFormat="false" ht="17.35" hidden="false" customHeight="false" outlineLevel="0" collapsed="false">
      <c r="A1" s="1" t="s">
        <v>272</v>
      </c>
    </row>
    <row r="2" customFormat="false" ht="15" hidden="false" customHeight="false" outlineLevel="0" collapsed="false">
      <c r="A2" s="2" t="s">
        <v>273</v>
      </c>
    </row>
    <row r="4" customFormat="false" ht="15" hidden="false" customHeight="false" outlineLevel="0" collapsed="false">
      <c r="A4" s="3" t="s">
        <v>274</v>
      </c>
      <c r="B4" s="3" t="s">
        <v>275</v>
      </c>
      <c r="C4" s="3" t="s">
        <v>276</v>
      </c>
      <c r="D4" s="3" t="s">
        <v>31</v>
      </c>
    </row>
    <row r="5" customFormat="false" ht="26.85" hidden="false" customHeight="false" outlineLevel="0" collapsed="false">
      <c r="A5" s="4" t="s">
        <v>277</v>
      </c>
      <c r="B5" s="4" t="s">
        <v>278</v>
      </c>
      <c r="C5" s="4" t="s">
        <v>279</v>
      </c>
      <c r="D5" s="4" t="s">
        <v>127</v>
      </c>
    </row>
    <row r="6" customFormat="false" ht="26.85" hidden="false" customHeight="false" outlineLevel="0" collapsed="false">
      <c r="A6" s="4" t="s">
        <v>280</v>
      </c>
      <c r="B6" s="4" t="s">
        <v>281</v>
      </c>
      <c r="C6" s="4" t="s">
        <v>282</v>
      </c>
      <c r="D6" s="4" t="s">
        <v>283</v>
      </c>
    </row>
    <row r="7" customFormat="false" ht="26.85" hidden="false" customHeight="false" outlineLevel="0" collapsed="false">
      <c r="A7" s="4" t="s">
        <v>284</v>
      </c>
      <c r="B7" s="4" t="s">
        <v>285</v>
      </c>
      <c r="C7" s="4" t="s">
        <v>286</v>
      </c>
      <c r="D7" s="4" t="s">
        <v>287</v>
      </c>
    </row>
    <row r="8" customFormat="false" ht="26.85" hidden="false" customHeight="false" outlineLevel="0" collapsed="false">
      <c r="A8" s="4" t="s">
        <v>288</v>
      </c>
      <c r="B8" s="4" t="s">
        <v>289</v>
      </c>
      <c r="C8" s="4" t="s">
        <v>290</v>
      </c>
      <c r="D8" s="4" t="s">
        <v>283</v>
      </c>
    </row>
    <row r="9" customFormat="false" ht="26.85" hidden="false" customHeight="false" outlineLevel="0" collapsed="false">
      <c r="A9" s="4" t="s">
        <v>291</v>
      </c>
      <c r="B9" s="4" t="s">
        <v>292</v>
      </c>
      <c r="C9" s="4" t="s">
        <v>293</v>
      </c>
      <c r="D9" s="4" t="s">
        <v>294</v>
      </c>
    </row>
    <row r="10" customFormat="false" ht="26.85" hidden="false" customHeight="false" outlineLevel="0" collapsed="false">
      <c r="A10" s="4" t="s">
        <v>295</v>
      </c>
      <c r="B10" s="4" t="s">
        <v>296</v>
      </c>
      <c r="C10" s="4" t="s">
        <v>297</v>
      </c>
      <c r="D10" s="4" t="s">
        <v>298</v>
      </c>
    </row>
    <row r="11" customFormat="false" ht="26.85" hidden="false" customHeight="false" outlineLevel="0" collapsed="false">
      <c r="A11" s="4" t="s">
        <v>299</v>
      </c>
      <c r="B11" s="4" t="s">
        <v>300</v>
      </c>
      <c r="C11" s="4" t="s">
        <v>301</v>
      </c>
      <c r="D11" s="4" t="s">
        <v>302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16"/>
    <col collapsed="false" customWidth="true" hidden="false" outlineLevel="0" max="4" min="4" style="0" width="14"/>
    <col collapsed="false" customWidth="true" hidden="false" outlineLevel="0" max="7" min="5" style="0" width="16"/>
    <col collapsed="false" customWidth="true" hidden="false" outlineLevel="0" max="8" min="8" style="0" width="18"/>
    <col collapsed="false" customWidth="true" hidden="false" outlineLevel="0" max="9" min="9" style="0" width="16"/>
    <col collapsed="false" customWidth="true" hidden="false" outlineLevel="0" max="10" min="10" style="0" width="18"/>
  </cols>
  <sheetData>
    <row r="1" customFormat="false" ht="17.35" hidden="false" customHeight="false" outlineLevel="0" collapsed="false">
      <c r="A1" s="1" t="s">
        <v>303</v>
      </c>
    </row>
    <row r="2" customFormat="false" ht="15" hidden="false" customHeight="false" outlineLevel="0" collapsed="false">
      <c r="A2" s="2" t="s">
        <v>304</v>
      </c>
    </row>
    <row r="4" customFormat="false" ht="39.55" hidden="false" customHeight="false" outlineLevel="0" collapsed="false">
      <c r="A4" s="3" t="s">
        <v>305</v>
      </c>
      <c r="B4" s="3" t="s">
        <v>306</v>
      </c>
      <c r="C4" s="3" t="s">
        <v>307</v>
      </c>
      <c r="D4" s="3" t="s">
        <v>308</v>
      </c>
      <c r="E4" s="3" t="s">
        <v>309</v>
      </c>
      <c r="F4" s="3" t="s">
        <v>310</v>
      </c>
      <c r="G4" s="3" t="s">
        <v>311</v>
      </c>
      <c r="H4" s="3" t="s">
        <v>312</v>
      </c>
      <c r="I4" s="3" t="s">
        <v>313</v>
      </c>
      <c r="J4" s="3" t="s">
        <v>314</v>
      </c>
    </row>
    <row r="5" customFormat="false" ht="15" hidden="false" customHeight="false" outlineLevel="0" collapsed="false">
      <c r="A5" s="4" t="s">
        <v>315</v>
      </c>
      <c r="B5" s="5" t="n">
        <v>30000</v>
      </c>
      <c r="C5" s="6" t="n">
        <v>0.12</v>
      </c>
      <c r="D5" s="7" t="n">
        <v>3</v>
      </c>
      <c r="E5" s="6" t="n">
        <v>0</v>
      </c>
      <c r="F5" s="8" t="n">
        <f aca="false">ROUND(PMT(C5/12,D5,-B5),2)</f>
        <v>10200.66</v>
      </c>
      <c r="G5" s="8" t="n">
        <f aca="false">ROUND(B5*E5,2)</f>
        <v>0</v>
      </c>
      <c r="H5" s="8" t="n">
        <f aca="false">ROUND(G5*Parameters!$B$19,2)</f>
        <v>0</v>
      </c>
      <c r="I5" s="8" t="n">
        <f aca="false">F5*D5-B5</f>
        <v>601.98</v>
      </c>
      <c r="J5" s="8" t="n">
        <f aca="false">F5*D5</f>
        <v>30601.98</v>
      </c>
    </row>
    <row r="6" customFormat="false" ht="15" hidden="false" customHeight="false" outlineLevel="0" collapsed="false">
      <c r="A6" s="4" t="s">
        <v>316</v>
      </c>
      <c r="B6" s="5" t="n">
        <v>36295</v>
      </c>
      <c r="C6" s="6" t="n">
        <v>0.18</v>
      </c>
      <c r="D6" s="7" t="n">
        <v>9</v>
      </c>
      <c r="E6" s="6" t="n">
        <v>0.01</v>
      </c>
      <c r="F6" s="8" t="n">
        <f aca="false">ROUND(PMT(C6/12,D6,-B6),2)</f>
        <v>4341.24</v>
      </c>
      <c r="G6" s="8" t="n">
        <f aca="false">ROUND(B6*E6,2)</f>
        <v>362.95</v>
      </c>
      <c r="H6" s="8" t="n">
        <f aca="false">ROUND(G6*Parameters!$B$19,2)</f>
        <v>65.33</v>
      </c>
      <c r="I6" s="8" t="n">
        <f aca="false">F6*D6-B6</f>
        <v>2776.16</v>
      </c>
      <c r="J6" s="8" t="n">
        <f aca="false">F6*D6</f>
        <v>39071.16</v>
      </c>
    </row>
    <row r="7" customFormat="false" ht="15" hidden="false" customHeight="false" outlineLevel="0" collapsed="false">
      <c r="A7" s="4" t="s">
        <v>317</v>
      </c>
      <c r="B7" s="5" t="n">
        <v>60000</v>
      </c>
      <c r="C7" s="6" t="n">
        <v>0.15</v>
      </c>
      <c r="D7" s="7" t="n">
        <v>12</v>
      </c>
      <c r="E7" s="6" t="n">
        <v>0.01</v>
      </c>
      <c r="F7" s="8" t="n">
        <f aca="false">ROUND(PMT(C7/12,D7,-B7),2)</f>
        <v>5415.5</v>
      </c>
      <c r="G7" s="8" t="n">
        <f aca="false">ROUND(B7*E7,2)</f>
        <v>600</v>
      </c>
      <c r="H7" s="8" t="n">
        <f aca="false">ROUND(G7*Parameters!$B$19,2)</f>
        <v>108</v>
      </c>
      <c r="I7" s="8" t="n">
        <f aca="false">F7*D7-B7</f>
        <v>4986</v>
      </c>
      <c r="J7" s="8" t="n">
        <f aca="false">F7*D7</f>
        <v>64986</v>
      </c>
    </row>
    <row r="10" customFormat="false" ht="15" hidden="false" customHeight="false" outlineLevel="0" collapsed="false">
      <c r="A10" s="2" t="s">
        <v>318</v>
      </c>
    </row>
    <row r="11" customFormat="false" ht="15" hidden="false" customHeight="false" outlineLevel="0" collapsed="false">
      <c r="A11" s="2" t="s">
        <v>319</v>
      </c>
    </row>
    <row r="12" customFormat="false" ht="15" hidden="false" customHeight="false" outlineLevel="0" collapsed="false">
      <c r="A12" s="2" t="s">
        <v>320</v>
      </c>
    </row>
    <row r="13" customFormat="false" ht="15" hidden="false" customHeight="false" outlineLevel="0" collapsed="false">
      <c r="A13" s="2" t="s">
        <v>321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18"/>
    <col collapsed="false" customWidth="true" hidden="false" outlineLevel="0" max="4" min="4" style="0" width="22"/>
    <col collapsed="false" customWidth="true" hidden="false" outlineLevel="0" max="6" min="5" style="0" width="18"/>
    <col collapsed="false" customWidth="true" hidden="false" outlineLevel="0" max="7" min="7" style="0" width="14"/>
    <col collapsed="false" customWidth="true" hidden="false" outlineLevel="0" max="8" min="8" style="0" width="22"/>
  </cols>
  <sheetData>
    <row r="1" customFormat="false" ht="17.35" hidden="false" customHeight="false" outlineLevel="0" collapsed="false">
      <c r="A1" s="1" t="s">
        <v>322</v>
      </c>
    </row>
    <row r="2" customFormat="false" ht="15" hidden="false" customHeight="false" outlineLevel="0" collapsed="false">
      <c r="A2" s="2" t="s">
        <v>323</v>
      </c>
    </row>
    <row r="4" customFormat="false" ht="26.85" hidden="false" customHeight="false" outlineLevel="0" collapsed="false">
      <c r="A4" s="3" t="s">
        <v>305</v>
      </c>
      <c r="B4" s="3" t="s">
        <v>324</v>
      </c>
      <c r="C4" s="3" t="s">
        <v>325</v>
      </c>
      <c r="D4" s="3" t="s">
        <v>326</v>
      </c>
      <c r="E4" s="3" t="s">
        <v>327</v>
      </c>
      <c r="F4" s="3" t="s">
        <v>328</v>
      </c>
      <c r="G4" s="3" t="s">
        <v>329</v>
      </c>
      <c r="H4" s="3" t="s">
        <v>330</v>
      </c>
    </row>
    <row r="5" customFormat="false" ht="15" hidden="false" customHeight="false" outlineLevel="0" collapsed="false">
      <c r="A5" s="4" t="s">
        <v>315</v>
      </c>
      <c r="B5" s="9" t="n">
        <v>1</v>
      </c>
      <c r="C5" s="4" t="s">
        <v>331</v>
      </c>
      <c r="D5" s="8" t="n">
        <f aca="false">'EMI plans'!$B$5</f>
        <v>30000</v>
      </c>
      <c r="E5" s="8" t="n">
        <f aca="false">ROUND(D5*'EMI plans'!$C$5/12,2)</f>
        <v>300</v>
      </c>
      <c r="F5" s="8" t="n">
        <f aca="false">G5-E5</f>
        <v>9900.66</v>
      </c>
      <c r="G5" s="8" t="n">
        <f aca="false">'EMI plans'!$F$5</f>
        <v>10200.66</v>
      </c>
      <c r="H5" s="8" t="n">
        <f aca="false">D5-F5</f>
        <v>20099.34</v>
      </c>
    </row>
    <row r="6" customFormat="false" ht="15" hidden="false" customHeight="false" outlineLevel="0" collapsed="false">
      <c r="A6" s="4" t="s">
        <v>315</v>
      </c>
      <c r="B6" s="9" t="n">
        <v>2</v>
      </c>
      <c r="C6" s="4" t="s">
        <v>332</v>
      </c>
      <c r="D6" s="8" t="n">
        <f aca="false">H5</f>
        <v>20099.34</v>
      </c>
      <c r="E6" s="8" t="n">
        <f aca="false">ROUND(D6*'EMI plans'!$C$5/12,2)</f>
        <v>200.99</v>
      </c>
      <c r="F6" s="8" t="n">
        <f aca="false">G6-E6</f>
        <v>9999.67</v>
      </c>
      <c r="G6" s="8" t="n">
        <f aca="false">'EMI plans'!$F$5</f>
        <v>10200.66</v>
      </c>
      <c r="H6" s="8" t="n">
        <f aca="false">D6-F6</f>
        <v>10099.67</v>
      </c>
    </row>
    <row r="7" customFormat="false" ht="15" hidden="false" customHeight="false" outlineLevel="0" collapsed="false">
      <c r="A7" s="4" t="s">
        <v>315</v>
      </c>
      <c r="B7" s="9" t="n">
        <v>3</v>
      </c>
      <c r="C7" s="4" t="s">
        <v>333</v>
      </c>
      <c r="D7" s="8" t="n">
        <f aca="false">H6</f>
        <v>10099.67</v>
      </c>
      <c r="E7" s="8" t="n">
        <f aca="false">ROUND(D7*'EMI plans'!$C$5/12,2)</f>
        <v>101</v>
      </c>
      <c r="F7" s="8" t="n">
        <f aca="false">G7-E7</f>
        <v>10099.66</v>
      </c>
      <c r="G7" s="8" t="n">
        <f aca="false">'EMI plans'!$F$5</f>
        <v>10200.66</v>
      </c>
      <c r="H7" s="8" t="n">
        <f aca="false">D7-F7</f>
        <v>0.0100000000002183</v>
      </c>
    </row>
    <row r="8" customFormat="false" ht="15" hidden="false" customHeight="false" outlineLevel="0" collapsed="false">
      <c r="A8" s="4" t="s">
        <v>316</v>
      </c>
      <c r="B8" s="9" t="n">
        <v>1</v>
      </c>
      <c r="C8" s="4" t="s">
        <v>334</v>
      </c>
      <c r="D8" s="8" t="n">
        <f aca="false">'EMI plans'!$B$6</f>
        <v>36295</v>
      </c>
      <c r="E8" s="8" t="n">
        <f aca="false">ROUND(D8*'EMI plans'!$C$6/12,2)</f>
        <v>544.43</v>
      </c>
      <c r="F8" s="8" t="n">
        <f aca="false">G8-E8</f>
        <v>3796.81</v>
      </c>
      <c r="G8" s="8" t="n">
        <f aca="false">'EMI plans'!$F$6</f>
        <v>4341.24</v>
      </c>
      <c r="H8" s="8" t="n">
        <f aca="false">D8-F8</f>
        <v>32498.19</v>
      </c>
    </row>
    <row r="9" customFormat="false" ht="15" hidden="false" customHeight="false" outlineLevel="0" collapsed="false">
      <c r="A9" s="4" t="s">
        <v>316</v>
      </c>
      <c r="B9" s="9" t="n">
        <v>2</v>
      </c>
      <c r="C9" s="4" t="s">
        <v>335</v>
      </c>
      <c r="D9" s="8" t="n">
        <f aca="false">H8</f>
        <v>32498.19</v>
      </c>
      <c r="E9" s="8" t="n">
        <f aca="false">ROUND(D9*'EMI plans'!$C$6/12,2)</f>
        <v>487.47</v>
      </c>
      <c r="F9" s="8" t="n">
        <f aca="false">G9-E9</f>
        <v>3853.77</v>
      </c>
      <c r="G9" s="8" t="n">
        <f aca="false">'EMI plans'!$F$6</f>
        <v>4341.24</v>
      </c>
      <c r="H9" s="8" t="n">
        <f aca="false">D9-F9</f>
        <v>28644.42</v>
      </c>
    </row>
    <row r="10" customFormat="false" ht="15" hidden="false" customHeight="false" outlineLevel="0" collapsed="false">
      <c r="A10" s="4" t="s">
        <v>316</v>
      </c>
      <c r="B10" s="9" t="n">
        <v>3</v>
      </c>
      <c r="C10" s="4" t="s">
        <v>336</v>
      </c>
      <c r="D10" s="8" t="n">
        <f aca="false">H9</f>
        <v>28644.42</v>
      </c>
      <c r="E10" s="8" t="n">
        <f aca="false">ROUND(D10*'EMI plans'!$C$6/12,2)</f>
        <v>429.67</v>
      </c>
      <c r="F10" s="8" t="n">
        <f aca="false">G10-E10</f>
        <v>3911.57</v>
      </c>
      <c r="G10" s="8" t="n">
        <f aca="false">'EMI plans'!$F$6</f>
        <v>4341.24</v>
      </c>
      <c r="H10" s="8" t="n">
        <f aca="false">D10-F10</f>
        <v>24732.85</v>
      </c>
    </row>
    <row r="11" customFormat="false" ht="15" hidden="false" customHeight="false" outlineLevel="0" collapsed="false">
      <c r="A11" s="4" t="s">
        <v>316</v>
      </c>
      <c r="B11" s="9" t="n">
        <v>4</v>
      </c>
      <c r="C11" s="4" t="s">
        <v>337</v>
      </c>
      <c r="D11" s="8" t="n">
        <f aca="false">H10</f>
        <v>24732.85</v>
      </c>
      <c r="E11" s="8" t="n">
        <f aca="false">ROUND(D11*'EMI plans'!$C$6/12,2)</f>
        <v>370.99</v>
      </c>
      <c r="F11" s="8" t="n">
        <f aca="false">G11-E11</f>
        <v>3970.25</v>
      </c>
      <c r="G11" s="8" t="n">
        <f aca="false">'EMI plans'!$F$6</f>
        <v>4341.24</v>
      </c>
      <c r="H11" s="8" t="n">
        <f aca="false">D11-F11</f>
        <v>20762.6</v>
      </c>
    </row>
    <row r="12" customFormat="false" ht="15" hidden="false" customHeight="false" outlineLevel="0" collapsed="false">
      <c r="A12" s="4" t="s">
        <v>316</v>
      </c>
      <c r="B12" s="9" t="n">
        <v>5</v>
      </c>
      <c r="C12" s="4" t="s">
        <v>338</v>
      </c>
      <c r="D12" s="8" t="n">
        <f aca="false">H11</f>
        <v>20762.6</v>
      </c>
      <c r="E12" s="8" t="n">
        <f aca="false">ROUND(D12*'EMI plans'!$C$6/12,2)</f>
        <v>311.44</v>
      </c>
      <c r="F12" s="8" t="n">
        <f aca="false">G12-E12</f>
        <v>4029.8</v>
      </c>
      <c r="G12" s="8" t="n">
        <f aca="false">'EMI plans'!$F$6</f>
        <v>4341.24</v>
      </c>
      <c r="H12" s="8" t="n">
        <f aca="false">D12-F12</f>
        <v>16732.8</v>
      </c>
    </row>
    <row r="13" customFormat="false" ht="15" hidden="false" customHeight="false" outlineLevel="0" collapsed="false">
      <c r="A13" s="4" t="s">
        <v>316</v>
      </c>
      <c r="B13" s="9" t="n">
        <v>6</v>
      </c>
      <c r="C13" s="4" t="s">
        <v>339</v>
      </c>
      <c r="D13" s="8" t="n">
        <f aca="false">H12</f>
        <v>16732.8</v>
      </c>
      <c r="E13" s="8" t="n">
        <f aca="false">ROUND(D13*'EMI plans'!$C$6/12,2)</f>
        <v>250.99</v>
      </c>
      <c r="F13" s="8" t="n">
        <f aca="false">G13-E13</f>
        <v>4090.25</v>
      </c>
      <c r="G13" s="8" t="n">
        <f aca="false">'EMI plans'!$F$6</f>
        <v>4341.24</v>
      </c>
      <c r="H13" s="8" t="n">
        <f aca="false">D13-F13</f>
        <v>12642.55</v>
      </c>
    </row>
    <row r="14" customFormat="false" ht="15" hidden="false" customHeight="false" outlineLevel="0" collapsed="false">
      <c r="A14" s="4" t="s">
        <v>316</v>
      </c>
      <c r="B14" s="9" t="n">
        <v>7</v>
      </c>
      <c r="C14" s="4" t="s">
        <v>340</v>
      </c>
      <c r="D14" s="8" t="n">
        <f aca="false">H13</f>
        <v>12642.55</v>
      </c>
      <c r="E14" s="8" t="n">
        <f aca="false">ROUND(D14*'EMI plans'!$C$6/12,2)</f>
        <v>189.64</v>
      </c>
      <c r="F14" s="8" t="n">
        <f aca="false">G14-E14</f>
        <v>4151.6</v>
      </c>
      <c r="G14" s="8" t="n">
        <f aca="false">'EMI plans'!$F$6</f>
        <v>4341.24</v>
      </c>
      <c r="H14" s="8" t="n">
        <f aca="false">D14-F14</f>
        <v>8490.95</v>
      </c>
    </row>
    <row r="15" customFormat="false" ht="15" hidden="false" customHeight="false" outlineLevel="0" collapsed="false">
      <c r="A15" s="4" t="s">
        <v>316</v>
      </c>
      <c r="B15" s="9" t="n">
        <v>8</v>
      </c>
      <c r="C15" s="4" t="s">
        <v>341</v>
      </c>
      <c r="D15" s="8" t="n">
        <f aca="false">H14</f>
        <v>8490.95</v>
      </c>
      <c r="E15" s="8" t="n">
        <f aca="false">ROUND(D15*'EMI plans'!$C$6/12,2)</f>
        <v>127.36</v>
      </c>
      <c r="F15" s="8" t="n">
        <f aca="false">G15-E15</f>
        <v>4213.88</v>
      </c>
      <c r="G15" s="8" t="n">
        <f aca="false">'EMI plans'!$F$6</f>
        <v>4341.24</v>
      </c>
      <c r="H15" s="8" t="n">
        <f aca="false">D15-F15</f>
        <v>4277.07</v>
      </c>
    </row>
    <row r="16" customFormat="false" ht="15" hidden="false" customHeight="false" outlineLevel="0" collapsed="false">
      <c r="A16" s="4" t="s">
        <v>316</v>
      </c>
      <c r="B16" s="9" t="n">
        <v>9</v>
      </c>
      <c r="C16" s="4" t="s">
        <v>342</v>
      </c>
      <c r="D16" s="8" t="n">
        <f aca="false">H15</f>
        <v>4277.07</v>
      </c>
      <c r="E16" s="8" t="n">
        <f aca="false">ROUND(D16*'EMI plans'!$C$6/12,2)</f>
        <v>64.16</v>
      </c>
      <c r="F16" s="8" t="n">
        <f aca="false">G16-E16</f>
        <v>4277.08</v>
      </c>
      <c r="G16" s="8" t="n">
        <f aca="false">'EMI plans'!$F$6</f>
        <v>4341.24</v>
      </c>
      <c r="H16" s="8" t="n">
        <f aca="false">D16-F16</f>
        <v>-0.00999999999930878</v>
      </c>
    </row>
    <row r="17" customFormat="false" ht="15" hidden="false" customHeight="false" outlineLevel="0" collapsed="false">
      <c r="A17" s="4" t="s">
        <v>317</v>
      </c>
      <c r="B17" s="9" t="n">
        <v>1</v>
      </c>
      <c r="C17" s="4" t="s">
        <v>343</v>
      </c>
      <c r="D17" s="8" t="n">
        <f aca="false">'EMI plans'!$B$7</f>
        <v>60000</v>
      </c>
      <c r="E17" s="8" t="n">
        <f aca="false">ROUND(D17*'EMI plans'!$C$7/12,2)</f>
        <v>750</v>
      </c>
      <c r="F17" s="8" t="n">
        <f aca="false">G17-E17</f>
        <v>4665.5</v>
      </c>
      <c r="G17" s="8" t="n">
        <f aca="false">'EMI plans'!$F$7</f>
        <v>5415.5</v>
      </c>
      <c r="H17" s="8" t="n">
        <f aca="false">D17-F17</f>
        <v>55334.5</v>
      </c>
    </row>
    <row r="18" customFormat="false" ht="15" hidden="false" customHeight="false" outlineLevel="0" collapsed="false">
      <c r="A18" s="4" t="s">
        <v>317</v>
      </c>
      <c r="B18" s="9" t="n">
        <v>2</v>
      </c>
      <c r="C18" s="4" t="s">
        <v>344</v>
      </c>
      <c r="D18" s="8" t="n">
        <f aca="false">H17</f>
        <v>55334.5</v>
      </c>
      <c r="E18" s="8" t="n">
        <f aca="false">ROUND(D18*'EMI plans'!$C$7/12,2)</f>
        <v>691.68</v>
      </c>
      <c r="F18" s="8" t="n">
        <f aca="false">G18-E18</f>
        <v>4723.82</v>
      </c>
      <c r="G18" s="8" t="n">
        <f aca="false">'EMI plans'!$F$7</f>
        <v>5415.5</v>
      </c>
      <c r="H18" s="8" t="n">
        <f aca="false">D18-F18</f>
        <v>50610.68</v>
      </c>
    </row>
    <row r="19" customFormat="false" ht="15" hidden="false" customHeight="false" outlineLevel="0" collapsed="false">
      <c r="A19" s="4" t="s">
        <v>317</v>
      </c>
      <c r="B19" s="9" t="n">
        <v>3</v>
      </c>
      <c r="C19" s="4" t="s">
        <v>345</v>
      </c>
      <c r="D19" s="8" t="n">
        <f aca="false">H18</f>
        <v>50610.68</v>
      </c>
      <c r="E19" s="8" t="n">
        <f aca="false">ROUND(D19*'EMI plans'!$C$7/12,2)</f>
        <v>632.63</v>
      </c>
      <c r="F19" s="8" t="n">
        <f aca="false">G19-E19</f>
        <v>4782.87</v>
      </c>
      <c r="G19" s="8" t="n">
        <f aca="false">'EMI plans'!$F$7</f>
        <v>5415.5</v>
      </c>
      <c r="H19" s="8" t="n">
        <f aca="false">D19-F19</f>
        <v>45827.81</v>
      </c>
    </row>
    <row r="20" customFormat="false" ht="15" hidden="false" customHeight="false" outlineLevel="0" collapsed="false">
      <c r="A20" s="4" t="s">
        <v>317</v>
      </c>
      <c r="B20" s="9" t="n">
        <v>4</v>
      </c>
      <c r="C20" s="4" t="s">
        <v>346</v>
      </c>
      <c r="D20" s="8" t="n">
        <f aca="false">H19</f>
        <v>45827.81</v>
      </c>
      <c r="E20" s="8" t="n">
        <f aca="false">ROUND(D20*'EMI plans'!$C$7/12,2)</f>
        <v>572.85</v>
      </c>
      <c r="F20" s="8" t="n">
        <f aca="false">G20-E20</f>
        <v>4842.65</v>
      </c>
      <c r="G20" s="8" t="n">
        <f aca="false">'EMI plans'!$F$7</f>
        <v>5415.5</v>
      </c>
      <c r="H20" s="8" t="n">
        <f aca="false">D20-F20</f>
        <v>40985.16</v>
      </c>
    </row>
    <row r="21" customFormat="false" ht="15" hidden="false" customHeight="false" outlineLevel="0" collapsed="false">
      <c r="A21" s="4" t="s">
        <v>317</v>
      </c>
      <c r="B21" s="9" t="n">
        <v>5</v>
      </c>
      <c r="C21" s="4" t="s">
        <v>347</v>
      </c>
      <c r="D21" s="8" t="n">
        <f aca="false">H20</f>
        <v>40985.16</v>
      </c>
      <c r="E21" s="8" t="n">
        <f aca="false">ROUND(D21*'EMI plans'!$C$7/12,2)</f>
        <v>512.31</v>
      </c>
      <c r="F21" s="8" t="n">
        <f aca="false">G21-E21</f>
        <v>4903.19</v>
      </c>
      <c r="G21" s="8" t="n">
        <f aca="false">'EMI plans'!$F$7</f>
        <v>5415.5</v>
      </c>
      <c r="H21" s="8" t="n">
        <f aca="false">D21-F21</f>
        <v>36081.97</v>
      </c>
    </row>
    <row r="22" customFormat="false" ht="15" hidden="false" customHeight="false" outlineLevel="0" collapsed="false">
      <c r="A22" s="4" t="s">
        <v>317</v>
      </c>
      <c r="B22" s="9" t="n">
        <v>6</v>
      </c>
      <c r="C22" s="4" t="s">
        <v>348</v>
      </c>
      <c r="D22" s="8" t="n">
        <f aca="false">H21</f>
        <v>36081.97</v>
      </c>
      <c r="E22" s="8" t="n">
        <f aca="false">ROUND(D22*'EMI plans'!$C$7/12,2)</f>
        <v>451.02</v>
      </c>
      <c r="F22" s="8" t="n">
        <f aca="false">G22-E22</f>
        <v>4964.48</v>
      </c>
      <c r="G22" s="8" t="n">
        <f aca="false">'EMI plans'!$F$7</f>
        <v>5415.5</v>
      </c>
      <c r="H22" s="8" t="n">
        <f aca="false">D22-F22</f>
        <v>31117.49</v>
      </c>
    </row>
    <row r="23" customFormat="false" ht="15" hidden="false" customHeight="false" outlineLevel="0" collapsed="false">
      <c r="A23" s="4" t="s">
        <v>317</v>
      </c>
      <c r="B23" s="9" t="n">
        <v>7</v>
      </c>
      <c r="C23" s="4" t="s">
        <v>349</v>
      </c>
      <c r="D23" s="8" t="n">
        <f aca="false">H22</f>
        <v>31117.49</v>
      </c>
      <c r="E23" s="8" t="n">
        <f aca="false">ROUND(D23*'EMI plans'!$C$7/12,2)</f>
        <v>388.97</v>
      </c>
      <c r="F23" s="8" t="n">
        <f aca="false">G23-E23</f>
        <v>5026.53</v>
      </c>
      <c r="G23" s="8" t="n">
        <f aca="false">'EMI plans'!$F$7</f>
        <v>5415.5</v>
      </c>
      <c r="H23" s="8" t="n">
        <f aca="false">D23-F23</f>
        <v>26090.96</v>
      </c>
    </row>
    <row r="24" customFormat="false" ht="15" hidden="false" customHeight="false" outlineLevel="0" collapsed="false">
      <c r="A24" s="4" t="s">
        <v>317</v>
      </c>
      <c r="B24" s="9" t="n">
        <v>8</v>
      </c>
      <c r="C24" s="4" t="s">
        <v>350</v>
      </c>
      <c r="D24" s="8" t="n">
        <f aca="false">H23</f>
        <v>26090.96</v>
      </c>
      <c r="E24" s="8" t="n">
        <f aca="false">ROUND(D24*'EMI plans'!$C$7/12,2)</f>
        <v>326.14</v>
      </c>
      <c r="F24" s="8" t="n">
        <f aca="false">G24-E24</f>
        <v>5089.36</v>
      </c>
      <c r="G24" s="8" t="n">
        <f aca="false">'EMI plans'!$F$7</f>
        <v>5415.5</v>
      </c>
      <c r="H24" s="8" t="n">
        <f aca="false">D24-F24</f>
        <v>21001.6</v>
      </c>
    </row>
    <row r="25" customFormat="false" ht="15" hidden="false" customHeight="false" outlineLevel="0" collapsed="false">
      <c r="A25" s="4" t="s">
        <v>317</v>
      </c>
      <c r="B25" s="9" t="n">
        <v>9</v>
      </c>
      <c r="C25" s="4" t="s">
        <v>351</v>
      </c>
      <c r="D25" s="8" t="n">
        <f aca="false">H24</f>
        <v>21001.6</v>
      </c>
      <c r="E25" s="8" t="n">
        <f aca="false">ROUND(D25*'EMI plans'!$C$7/12,2)</f>
        <v>262.52</v>
      </c>
      <c r="F25" s="8" t="n">
        <f aca="false">G25-E25</f>
        <v>5152.98</v>
      </c>
      <c r="G25" s="8" t="n">
        <f aca="false">'EMI plans'!$F$7</f>
        <v>5415.5</v>
      </c>
      <c r="H25" s="8" t="n">
        <f aca="false">D25-F25</f>
        <v>15848.62</v>
      </c>
    </row>
    <row r="26" customFormat="false" ht="15" hidden="false" customHeight="false" outlineLevel="0" collapsed="false">
      <c r="A26" s="4" t="s">
        <v>317</v>
      </c>
      <c r="B26" s="9" t="n">
        <v>10</v>
      </c>
      <c r="C26" s="4" t="s">
        <v>352</v>
      </c>
      <c r="D26" s="8" t="n">
        <f aca="false">H25</f>
        <v>15848.62</v>
      </c>
      <c r="E26" s="8" t="n">
        <f aca="false">ROUND(D26*'EMI plans'!$C$7/12,2)</f>
        <v>198.11</v>
      </c>
      <c r="F26" s="8" t="n">
        <f aca="false">G26-E26</f>
        <v>5217.39</v>
      </c>
      <c r="G26" s="8" t="n">
        <f aca="false">'EMI plans'!$F$7</f>
        <v>5415.5</v>
      </c>
      <c r="H26" s="8" t="n">
        <f aca="false">D26-F26</f>
        <v>10631.23</v>
      </c>
    </row>
    <row r="27" customFormat="false" ht="15" hidden="false" customHeight="false" outlineLevel="0" collapsed="false">
      <c r="A27" s="4" t="s">
        <v>317</v>
      </c>
      <c r="B27" s="9" t="n">
        <v>11</v>
      </c>
      <c r="C27" s="4" t="s">
        <v>353</v>
      </c>
      <c r="D27" s="8" t="n">
        <f aca="false">H26</f>
        <v>10631.23</v>
      </c>
      <c r="E27" s="8" t="n">
        <f aca="false">ROUND(D27*'EMI plans'!$C$7/12,2)</f>
        <v>132.89</v>
      </c>
      <c r="F27" s="8" t="n">
        <f aca="false">G27-E27</f>
        <v>5282.61</v>
      </c>
      <c r="G27" s="8" t="n">
        <f aca="false">'EMI plans'!$F$7</f>
        <v>5415.5</v>
      </c>
      <c r="H27" s="8" t="n">
        <f aca="false">D27-F27</f>
        <v>5348.62</v>
      </c>
    </row>
    <row r="28" customFormat="false" ht="15" hidden="false" customHeight="false" outlineLevel="0" collapsed="false">
      <c r="A28" s="4" t="s">
        <v>317</v>
      </c>
      <c r="B28" s="9" t="n">
        <v>12</v>
      </c>
      <c r="C28" s="4" t="s">
        <v>354</v>
      </c>
      <c r="D28" s="8" t="n">
        <f aca="false">H27</f>
        <v>5348.62</v>
      </c>
      <c r="E28" s="8" t="n">
        <f aca="false">ROUND(D28*'EMI plans'!$C$7/12,2)</f>
        <v>66.86</v>
      </c>
      <c r="F28" s="8" t="n">
        <f aca="false">G28-E28</f>
        <v>5348.64</v>
      </c>
      <c r="G28" s="8" t="n">
        <f aca="false">'EMI plans'!$F$7</f>
        <v>5415.5</v>
      </c>
      <c r="H28" s="8" t="n">
        <f aca="false">D28-F28</f>
        <v>-0.0200000000040745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2"/>
    <col collapsed="false" customWidth="true" hidden="false" outlineLevel="0" max="3" min="3" style="0" width="58"/>
    <col collapsed="false" customWidth="true" hidden="false" outlineLevel="0" max="4" min="4" style="0" width="18"/>
    <col collapsed="false" customWidth="true" hidden="false" outlineLevel="0" max="5" min="5" style="0" width="14"/>
  </cols>
  <sheetData>
    <row r="1" customFormat="false" ht="17.35" hidden="false" customHeight="false" outlineLevel="0" collapsed="false">
      <c r="A1" s="1" t="s">
        <v>355</v>
      </c>
    </row>
    <row r="2" customFormat="false" ht="15" hidden="false" customHeight="false" outlineLevel="0" collapsed="false">
      <c r="A2" s="2" t="s">
        <v>356</v>
      </c>
    </row>
    <row r="4" customFormat="false" ht="15" hidden="false" customHeight="false" outlineLevel="0" collapsed="false">
      <c r="A4" s="3" t="s">
        <v>357</v>
      </c>
      <c r="B4" s="3" t="s">
        <v>358</v>
      </c>
      <c r="C4" s="3" t="s">
        <v>359</v>
      </c>
      <c r="D4" s="3" t="s">
        <v>360</v>
      </c>
      <c r="E4" s="3" t="s">
        <v>31</v>
      </c>
    </row>
    <row r="5" customFormat="false" ht="15" hidden="false" customHeight="false" outlineLevel="0" collapsed="false">
      <c r="A5" s="4" t="s">
        <v>361</v>
      </c>
      <c r="B5" s="6" t="n">
        <v>0.0375</v>
      </c>
      <c r="C5" s="4" t="s">
        <v>362</v>
      </c>
      <c r="D5" s="4" t="s">
        <v>363</v>
      </c>
      <c r="E5" s="4" t="s">
        <v>53</v>
      </c>
    </row>
    <row r="6" customFormat="false" ht="15" hidden="false" customHeight="false" outlineLevel="0" collapsed="false">
      <c r="A6" s="4" t="s">
        <v>364</v>
      </c>
      <c r="B6" s="6" t="n">
        <v>0.45</v>
      </c>
      <c r="C6" s="4" t="s">
        <v>365</v>
      </c>
      <c r="D6" s="4" t="s">
        <v>363</v>
      </c>
      <c r="E6" s="4" t="s">
        <v>53</v>
      </c>
    </row>
    <row r="7" customFormat="false" ht="15" hidden="false" customHeight="false" outlineLevel="0" collapsed="false">
      <c r="A7" s="4" t="s">
        <v>366</v>
      </c>
      <c r="B7" s="5" t="n">
        <v>25</v>
      </c>
      <c r="C7" s="4" t="s">
        <v>367</v>
      </c>
      <c r="D7" s="4" t="s">
        <v>47</v>
      </c>
      <c r="E7" s="4" t="s">
        <v>53</v>
      </c>
    </row>
    <row r="8" customFormat="false" ht="15" hidden="false" customHeight="false" outlineLevel="0" collapsed="false">
      <c r="A8" s="4" t="s">
        <v>368</v>
      </c>
      <c r="B8" s="6" t="n">
        <v>0.025</v>
      </c>
      <c r="C8" s="4" t="s">
        <v>369</v>
      </c>
      <c r="D8" s="4" t="s">
        <v>61</v>
      </c>
      <c r="E8" s="4" t="s">
        <v>68</v>
      </c>
    </row>
    <row r="9" customFormat="false" ht="15" hidden="false" customHeight="false" outlineLevel="0" collapsed="false">
      <c r="A9" s="4" t="s">
        <v>370</v>
      </c>
      <c r="B9" s="5" t="n">
        <v>500</v>
      </c>
      <c r="C9" s="4" t="s">
        <v>367</v>
      </c>
      <c r="D9" s="4" t="s">
        <v>61</v>
      </c>
      <c r="E9" s="4" t="s">
        <v>68</v>
      </c>
    </row>
    <row r="10" customFormat="false" ht="15" hidden="false" customHeight="false" outlineLevel="0" collapsed="false">
      <c r="A10" s="4" t="s">
        <v>371</v>
      </c>
      <c r="B10" s="5" t="n">
        <v>3</v>
      </c>
      <c r="C10" s="4" t="s">
        <v>372</v>
      </c>
      <c r="D10" s="4" t="s">
        <v>69</v>
      </c>
      <c r="E10" s="4" t="s">
        <v>127</v>
      </c>
    </row>
    <row r="11" customFormat="false" ht="15" hidden="false" customHeight="false" outlineLevel="0" collapsed="false">
      <c r="A11" s="4" t="s">
        <v>373</v>
      </c>
      <c r="B11" s="5" t="n">
        <v>100</v>
      </c>
      <c r="C11" s="4" t="s">
        <v>367</v>
      </c>
      <c r="D11" s="4" t="s">
        <v>77</v>
      </c>
      <c r="E11" s="4" t="s">
        <v>76</v>
      </c>
    </row>
    <row r="12" customFormat="false" ht="15" hidden="false" customHeight="false" outlineLevel="0" collapsed="false">
      <c r="A12" s="4" t="s">
        <v>374</v>
      </c>
      <c r="B12" s="6" t="n">
        <v>0.025</v>
      </c>
      <c r="C12" s="4" t="s">
        <v>375</v>
      </c>
      <c r="D12" s="4" t="s">
        <v>83</v>
      </c>
      <c r="E12" s="4" t="s">
        <v>90</v>
      </c>
    </row>
    <row r="13" customFormat="false" ht="15" hidden="false" customHeight="false" outlineLevel="0" collapsed="false">
      <c r="A13" s="4" t="s">
        <v>376</v>
      </c>
      <c r="B13" s="5" t="n">
        <v>600</v>
      </c>
      <c r="C13" s="4" t="s">
        <v>367</v>
      </c>
      <c r="D13" s="4" t="s">
        <v>83</v>
      </c>
      <c r="E13" s="4" t="s">
        <v>90</v>
      </c>
    </row>
    <row r="14" customFormat="false" ht="15" hidden="false" customHeight="false" outlineLevel="0" collapsed="false">
      <c r="A14" s="4" t="s">
        <v>377</v>
      </c>
      <c r="B14" s="6" t="n">
        <v>0.02</v>
      </c>
      <c r="C14" s="4" t="s">
        <v>378</v>
      </c>
      <c r="D14" s="4" t="s">
        <v>91</v>
      </c>
      <c r="E14" s="4" t="s">
        <v>98</v>
      </c>
    </row>
    <row r="15" customFormat="false" ht="15" hidden="false" customHeight="false" outlineLevel="0" collapsed="false">
      <c r="A15" s="4" t="s">
        <v>379</v>
      </c>
      <c r="B15" s="5" t="n">
        <v>500</v>
      </c>
      <c r="C15" s="4" t="s">
        <v>367</v>
      </c>
      <c r="D15" s="4" t="s">
        <v>91</v>
      </c>
      <c r="E15" s="4" t="s">
        <v>98</v>
      </c>
    </row>
    <row r="16" customFormat="false" ht="15" hidden="false" customHeight="false" outlineLevel="0" collapsed="false">
      <c r="A16" s="4" t="s">
        <v>380</v>
      </c>
      <c r="B16" s="6" t="n">
        <v>0.035</v>
      </c>
      <c r="C16" s="4" t="s">
        <v>381</v>
      </c>
      <c r="D16" s="4" t="s">
        <v>99</v>
      </c>
      <c r="E16" s="4" t="s">
        <v>106</v>
      </c>
    </row>
    <row r="17" customFormat="false" ht="15" hidden="false" customHeight="false" outlineLevel="0" collapsed="false">
      <c r="A17" s="4" t="s">
        <v>382</v>
      </c>
      <c r="B17" s="6" t="n">
        <v>0.035</v>
      </c>
      <c r="C17" s="4" t="s">
        <v>369</v>
      </c>
      <c r="D17" s="4" t="s">
        <v>107</v>
      </c>
      <c r="E17" s="4" t="s">
        <v>106</v>
      </c>
    </row>
    <row r="18" customFormat="false" ht="15" hidden="false" customHeight="false" outlineLevel="0" collapsed="false">
      <c r="A18" s="4" t="s">
        <v>383</v>
      </c>
      <c r="B18" s="5" t="n">
        <v>1000</v>
      </c>
      <c r="C18" s="4" t="s">
        <v>367</v>
      </c>
      <c r="D18" s="4" t="s">
        <v>107</v>
      </c>
      <c r="E18" s="4" t="s">
        <v>106</v>
      </c>
    </row>
    <row r="19" customFormat="false" ht="15" hidden="false" customHeight="false" outlineLevel="0" collapsed="false">
      <c r="A19" s="4" t="s">
        <v>384</v>
      </c>
      <c r="B19" s="6" t="n">
        <v>0.18</v>
      </c>
      <c r="C19" s="4" t="s">
        <v>385</v>
      </c>
      <c r="D19" s="4" t="s">
        <v>120</v>
      </c>
      <c r="E19" s="4" t="s">
        <v>127</v>
      </c>
    </row>
    <row r="20" customFormat="false" ht="15" hidden="false" customHeight="false" outlineLevel="0" collapsed="false">
      <c r="A20" s="4" t="s">
        <v>386</v>
      </c>
      <c r="B20" s="6" t="n">
        <v>0.02</v>
      </c>
      <c r="C20" s="4" t="s">
        <v>387</v>
      </c>
      <c r="D20" s="4" t="s">
        <v>128</v>
      </c>
      <c r="E20" s="4" t="s">
        <v>388</v>
      </c>
    </row>
    <row r="21" customFormat="false" ht="15" hidden="false" customHeight="false" outlineLevel="0" collapsed="false">
      <c r="A21" s="4" t="s">
        <v>389</v>
      </c>
      <c r="B21" s="5" t="n">
        <v>200</v>
      </c>
      <c r="C21" s="4" t="s">
        <v>367</v>
      </c>
      <c r="D21" s="4" t="s">
        <v>128</v>
      </c>
      <c r="E21" s="4" t="s">
        <v>390</v>
      </c>
    </row>
    <row r="22" customFormat="false" ht="15" hidden="false" customHeight="false" outlineLevel="0" collapsed="false">
      <c r="A22" s="4" t="s">
        <v>391</v>
      </c>
      <c r="B22" s="5" t="n">
        <v>20</v>
      </c>
      <c r="C22" s="4" t="s">
        <v>392</v>
      </c>
      <c r="D22" s="4" t="s">
        <v>136</v>
      </c>
      <c r="E22" s="4" t="s">
        <v>142</v>
      </c>
    </row>
    <row r="23" customFormat="false" ht="15" hidden="false" customHeight="false" outlineLevel="0" collapsed="false">
      <c r="A23" s="4" t="s">
        <v>393</v>
      </c>
      <c r="B23" s="6" t="n">
        <v>0.01</v>
      </c>
      <c r="C23" s="4" t="s">
        <v>394</v>
      </c>
      <c r="D23" s="4" t="s">
        <v>143</v>
      </c>
      <c r="E23" s="4" t="s">
        <v>150</v>
      </c>
    </row>
    <row r="24" customFormat="false" ht="15" hidden="false" customHeight="false" outlineLevel="0" collapsed="false">
      <c r="A24" s="4" t="s">
        <v>395</v>
      </c>
      <c r="B24" s="5" t="n">
        <v>50000</v>
      </c>
      <c r="C24" s="4" t="s">
        <v>396</v>
      </c>
      <c r="D24" s="4" t="s">
        <v>143</v>
      </c>
      <c r="E24" s="4" t="s">
        <v>150</v>
      </c>
    </row>
    <row r="25" customFormat="false" ht="15" hidden="false" customHeight="false" outlineLevel="0" collapsed="false">
      <c r="A25" s="4" t="s">
        <v>397</v>
      </c>
      <c r="B25" s="6" t="n">
        <v>0.01</v>
      </c>
      <c r="C25" s="4" t="s">
        <v>369</v>
      </c>
      <c r="D25" s="4" t="s">
        <v>151</v>
      </c>
      <c r="E25" s="4" t="s">
        <v>157</v>
      </c>
    </row>
    <row r="26" customFormat="false" ht="15" hidden="false" customHeight="false" outlineLevel="0" collapsed="false">
      <c r="A26" s="4" t="s">
        <v>398</v>
      </c>
      <c r="B26" s="6" t="n">
        <v>0.01</v>
      </c>
      <c r="C26" s="4" t="s">
        <v>369</v>
      </c>
      <c r="D26" s="4" t="s">
        <v>158</v>
      </c>
      <c r="E26" s="4" t="s">
        <v>164</v>
      </c>
    </row>
    <row r="27" customFormat="false" ht="15" hidden="false" customHeight="false" outlineLevel="0" collapsed="false">
      <c r="A27" s="4" t="s">
        <v>399</v>
      </c>
      <c r="B27" s="5" t="n">
        <v>1000</v>
      </c>
      <c r="C27" s="4" t="s">
        <v>367</v>
      </c>
      <c r="D27" s="4" t="s">
        <v>158</v>
      </c>
      <c r="E27" s="4" t="s">
        <v>164</v>
      </c>
    </row>
    <row r="28" customFormat="false" ht="15" hidden="false" customHeight="false" outlineLevel="0" collapsed="false">
      <c r="A28" s="4" t="s">
        <v>400</v>
      </c>
      <c r="B28" s="5" t="n">
        <v>199</v>
      </c>
      <c r="C28" s="4" t="s">
        <v>367</v>
      </c>
      <c r="D28" s="4" t="s">
        <v>165</v>
      </c>
      <c r="E28" s="4" t="s">
        <v>106</v>
      </c>
    </row>
    <row r="29" customFormat="false" ht="15" hidden="false" customHeight="false" outlineLevel="0" collapsed="false">
      <c r="A29" s="4" t="s">
        <v>401</v>
      </c>
      <c r="B29" s="6" t="n">
        <v>0.01</v>
      </c>
      <c r="C29" s="4" t="s">
        <v>369</v>
      </c>
      <c r="D29" s="4" t="s">
        <v>171</v>
      </c>
      <c r="E29" s="4" t="s">
        <v>127</v>
      </c>
    </row>
    <row r="30" customFormat="false" ht="15" hidden="false" customHeight="false" outlineLevel="0" collapsed="false">
      <c r="A30" s="4" t="s">
        <v>402</v>
      </c>
      <c r="B30" s="5" t="n">
        <v>250</v>
      </c>
      <c r="C30" s="4" t="s">
        <v>367</v>
      </c>
      <c r="D30" s="4" t="s">
        <v>177</v>
      </c>
      <c r="E30" s="4" t="s">
        <v>183</v>
      </c>
    </row>
    <row r="31" customFormat="false" ht="15" hidden="false" customHeight="false" outlineLevel="0" collapsed="false">
      <c r="A31" s="4" t="s">
        <v>403</v>
      </c>
      <c r="B31" s="5" t="n">
        <v>200</v>
      </c>
      <c r="C31" s="4" t="s">
        <v>367</v>
      </c>
      <c r="D31" s="4" t="s">
        <v>184</v>
      </c>
      <c r="E31" s="4" t="s">
        <v>106</v>
      </c>
    </row>
    <row r="32" customFormat="false" ht="15" hidden="false" customHeight="false" outlineLevel="0" collapsed="false">
      <c r="A32" s="4" t="s">
        <v>404</v>
      </c>
      <c r="B32" s="5" t="n">
        <v>99</v>
      </c>
      <c r="C32" s="4" t="s">
        <v>367</v>
      </c>
      <c r="D32" s="4" t="s">
        <v>189</v>
      </c>
      <c r="E32" s="4" t="s">
        <v>106</v>
      </c>
    </row>
    <row r="33" customFormat="false" ht="15" hidden="false" customHeight="false" outlineLevel="0" collapsed="false">
      <c r="A33" s="4" t="s">
        <v>405</v>
      </c>
      <c r="B33" s="5" t="n">
        <v>100</v>
      </c>
      <c r="C33" s="4" t="s">
        <v>367</v>
      </c>
      <c r="D33" s="4" t="s">
        <v>195</v>
      </c>
      <c r="E33" s="4" t="s">
        <v>106</v>
      </c>
    </row>
    <row r="34" customFormat="false" ht="15" hidden="false" customHeight="false" outlineLevel="0" collapsed="false">
      <c r="A34" s="4" t="s">
        <v>406</v>
      </c>
      <c r="B34" s="5" t="n">
        <v>250</v>
      </c>
      <c r="C34" s="4" t="s">
        <v>367</v>
      </c>
      <c r="D34" s="4" t="s">
        <v>195</v>
      </c>
      <c r="E34" s="4" t="s">
        <v>106</v>
      </c>
    </row>
    <row r="35" customFormat="false" ht="26.85" hidden="false" customHeight="false" outlineLevel="0" collapsed="false">
      <c r="A35" s="4" t="s">
        <v>407</v>
      </c>
      <c r="B35" s="5" t="n">
        <v>90</v>
      </c>
      <c r="C35" s="4" t="s">
        <v>408</v>
      </c>
      <c r="D35" s="4" t="s">
        <v>409</v>
      </c>
      <c r="E35" s="4" t="s">
        <v>410</v>
      </c>
    </row>
    <row r="36" customFormat="false" ht="26.85" hidden="false" customHeight="false" outlineLevel="0" collapsed="false">
      <c r="A36" s="4" t="s">
        <v>411</v>
      </c>
      <c r="B36" s="5" t="n">
        <v>30</v>
      </c>
      <c r="C36" s="4" t="s">
        <v>412</v>
      </c>
      <c r="D36" s="4" t="s">
        <v>409</v>
      </c>
      <c r="E36" s="4" t="s">
        <v>410</v>
      </c>
    </row>
    <row r="37" customFormat="false" ht="15" hidden="false" customHeight="false" outlineLevel="0" collapsed="false">
      <c r="A37" s="4" t="s">
        <v>413</v>
      </c>
      <c r="B37" s="5" t="n">
        <v>1</v>
      </c>
      <c r="C37" s="4" t="s">
        <v>414</v>
      </c>
      <c r="D37" s="4" t="s">
        <v>415</v>
      </c>
      <c r="E37" s="4" t="s">
        <v>416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2"/>
    <col collapsed="false" customWidth="true" hidden="false" outlineLevel="0" max="3" min="3" style="0" width="18"/>
  </cols>
  <sheetData>
    <row r="1" customFormat="false" ht="17.35" hidden="false" customHeight="false" outlineLevel="0" collapsed="false">
      <c r="A1" s="1" t="s">
        <v>417</v>
      </c>
    </row>
    <row r="2" customFormat="false" ht="15" hidden="false" customHeight="false" outlineLevel="0" collapsed="false">
      <c r="A2" s="2" t="s">
        <v>418</v>
      </c>
    </row>
    <row r="4" customFormat="false" ht="26.85" hidden="false" customHeight="false" outlineLevel="0" collapsed="false">
      <c r="A4" s="3" t="s">
        <v>419</v>
      </c>
      <c r="B4" s="3" t="s">
        <v>420</v>
      </c>
      <c r="C4" s="3" t="s">
        <v>421</v>
      </c>
    </row>
    <row r="5" customFormat="false" ht="15" hidden="false" customHeight="false" outlineLevel="0" collapsed="false">
      <c r="A5" s="5" t="n">
        <v>0</v>
      </c>
      <c r="B5" s="5" t="n">
        <v>100</v>
      </c>
      <c r="C5" s="5" t="n">
        <v>0</v>
      </c>
    </row>
    <row r="6" customFormat="false" ht="15" hidden="false" customHeight="false" outlineLevel="0" collapsed="false">
      <c r="A6" s="5" t="n">
        <v>100</v>
      </c>
      <c r="B6" s="5" t="n">
        <v>500</v>
      </c>
      <c r="C6" s="5" t="n">
        <v>100</v>
      </c>
    </row>
    <row r="7" customFormat="false" ht="15" hidden="false" customHeight="false" outlineLevel="0" collapsed="false">
      <c r="A7" s="5" t="n">
        <v>500</v>
      </c>
      <c r="B7" s="5" t="n">
        <v>1000</v>
      </c>
      <c r="C7" s="5" t="n">
        <v>500</v>
      </c>
    </row>
    <row r="8" customFormat="false" ht="15" hidden="false" customHeight="false" outlineLevel="0" collapsed="false">
      <c r="A8" s="5" t="n">
        <v>1000</v>
      </c>
      <c r="B8" s="5" t="n">
        <v>10000</v>
      </c>
      <c r="C8" s="5" t="n">
        <v>750</v>
      </c>
    </row>
    <row r="9" customFormat="false" ht="15" hidden="false" customHeight="false" outlineLevel="0" collapsed="false">
      <c r="A9" s="5" t="n">
        <v>10000</v>
      </c>
      <c r="B9" s="5" t="n">
        <v>25000</v>
      </c>
      <c r="C9" s="5" t="n">
        <v>950</v>
      </c>
    </row>
    <row r="10" customFormat="false" ht="15" hidden="false" customHeight="false" outlineLevel="0" collapsed="false">
      <c r="A10" s="5" t="n">
        <v>25000</v>
      </c>
      <c r="B10" s="5" t="n">
        <v>50000</v>
      </c>
      <c r="C10" s="5" t="n">
        <v>1100</v>
      </c>
    </row>
    <row r="11" customFormat="false" ht="15" hidden="false" customHeight="false" outlineLevel="0" collapsed="false">
      <c r="A11" s="5" t="n">
        <v>50000</v>
      </c>
      <c r="B11" s="10" t="s">
        <v>422</v>
      </c>
      <c r="C11" s="5" t="n">
        <v>1300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20"/>
  </cols>
  <sheetData>
    <row r="1" customFormat="false" ht="17.35" hidden="false" customHeight="false" outlineLevel="0" collapsed="false">
      <c r="A1" s="1" t="s">
        <v>423</v>
      </c>
    </row>
    <row r="2" customFormat="false" ht="15" hidden="false" customHeight="false" outlineLevel="0" collapsed="false">
      <c r="A2" s="2" t="s">
        <v>424</v>
      </c>
    </row>
    <row r="4" customFormat="false" ht="15" hidden="false" customHeight="false" outlineLevel="0" collapsed="false">
      <c r="A4" s="3" t="s">
        <v>2</v>
      </c>
      <c r="B4" s="3" t="s">
        <v>3</v>
      </c>
    </row>
    <row r="5" customFormat="false" ht="15" hidden="false" customHeight="false" outlineLevel="0" collapsed="false">
      <c r="A5" s="4" t="s">
        <v>425</v>
      </c>
      <c r="B5" s="4" t="s">
        <v>426</v>
      </c>
    </row>
    <row r="6" customFormat="false" ht="15" hidden="false" customHeight="false" outlineLevel="0" collapsed="false">
      <c r="A6" s="4" t="s">
        <v>427</v>
      </c>
      <c r="B6" s="4" t="s">
        <v>428</v>
      </c>
    </row>
    <row r="7" customFormat="false" ht="15" hidden="false" customHeight="false" outlineLevel="0" collapsed="false">
      <c r="A7" s="4" t="s">
        <v>429</v>
      </c>
      <c r="B7" s="4" t="s">
        <v>430</v>
      </c>
    </row>
    <row r="8" customFormat="false" ht="15" hidden="false" customHeight="false" outlineLevel="0" collapsed="false">
      <c r="A8" s="4" t="s">
        <v>431</v>
      </c>
      <c r="B8" s="4" t="s">
        <v>432</v>
      </c>
    </row>
    <row r="9" customFormat="false" ht="26.85" hidden="false" customHeight="false" outlineLevel="0" collapsed="false">
      <c r="A9" s="4" t="s">
        <v>433</v>
      </c>
      <c r="B9" s="4" t="s">
        <v>434</v>
      </c>
    </row>
    <row r="10" customFormat="false" ht="15" hidden="false" customHeight="false" outlineLevel="0" collapsed="false">
      <c r="A10" s="4" t="s">
        <v>435</v>
      </c>
      <c r="B10" s="4" t="s">
        <v>436</v>
      </c>
    </row>
    <row r="11" customFormat="false" ht="26.85" hidden="false" customHeight="false" outlineLevel="0" collapsed="false">
      <c r="A11" s="4" t="s">
        <v>437</v>
      </c>
      <c r="B11" s="4" t="s">
        <v>438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2026-10-06T09:07:12Z</dcterms:created>
  <dc:creator>openpyxl</dc:creator>
  <dc:description/>
  <dc:language>en-US</dc:language>
  <cp:lastModifiedBy/>
  <dcterms:modified xsi:type="dcterms:W3CDTF">2026-10-06T09:11:03Z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